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97a2fc989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S Contribution Table" sheetId="1" r:id="Ra1aec26822604d14"/>
    <x:sheet xmlns:r="http://schemas.openxmlformats.org/officeDocument/2006/relationships" name="Employee" sheetId="2" r:id="Re257849af3d24a70"/>
    <x:sheet xmlns:r="http://schemas.openxmlformats.org/officeDocument/2006/relationships" name="Sheet3" sheetId="3" r:id="R86dd5a6a0a48404d"/>
    <x:sheet xmlns:r="http://schemas.openxmlformats.org/officeDocument/2006/relationships" name="Total Hours - Summary" sheetId="4" r:id="R301baffe5d634c84"/>
    <x:sheet xmlns:r="http://schemas.openxmlformats.org/officeDocument/2006/relationships" name="OT" sheetId="5" r:id="Ra3a1789d03804140"/>
    <x:sheet xmlns:r="http://schemas.openxmlformats.org/officeDocument/2006/relationships" name="Hourly" sheetId="6" r:id="Rae456df350cc4165"/>
    <x:sheet xmlns:r="http://schemas.openxmlformats.org/officeDocument/2006/relationships" name="Special Holiday" sheetId="7" r:id="R4757edce46a94454"/>
    <x:sheet xmlns:r="http://schemas.openxmlformats.org/officeDocument/2006/relationships" name="Allowances" sheetId="8" r:id="Rdb592604df424734"/>
    <x:sheet xmlns:r="http://schemas.openxmlformats.org/officeDocument/2006/relationships" name="SIL_Offset" sheetId="9" r:id="Rcd64868353394b5d"/>
    <x:sheet xmlns:r="http://schemas.openxmlformats.org/officeDocument/2006/relationships" name="Goverment Contirbution" sheetId="10" r:id="R789b526d3f18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164" formatCode="_-* #,##0.00_-;\-* #,##0.00_-;_-* &quot;-&quot;??_-;_-@"/>
    <x:numFmt numFmtId="165" formatCode="_(* #,##0.0_);_(* \(#,##0.0\);_(* &quot;-&quot;??_);_(@_)"/>
    <x:numFmt numFmtId="166" formatCode="mm/dd/yyyy"/>
    <x:numFmt numFmtId="167" formatCode="_-* #,##0.00_-;\-* #,##0.00_-;_-* &quot;-&quot;??_-;_-@_-"/>
    <x:numFmt numFmtId="168" formatCode="[$₱]#,##0.00"/>
    <x:numFmt numFmtId="169" formatCode="_(* #,##0.00_);_(* \(#,##0.00\);_(* &quot;-&quot;??.0_);_(@_)"/>
    <x:numFmt numFmtId="170" formatCode="_(* #,##0.00_);_(* \(#,##0.00\);_(* &quot;-&quot;??.00_);_(@_)"/>
    <x:numFmt numFmtId="171" formatCode="_(* #,##0_);_(* \(#,##0\);_(* &quot;-&quot;??_);_(@_)"/>
    <x:numFmt numFmtId="172" formatCode="mmm\ d\,\ yyyy"/>
    <x:numFmt numFmtId="173" formatCode="mmmm\ d\,\ yyyy"/>
    <x:numFmt numFmtId="174" formatCode="ddd\,\ mmm\ d\,\ yyyy"/>
    <x:numFmt numFmtId="175" formatCode="\₱#,##0.00"/>
    <x:numFmt numFmtId="176" formatCode="\₱#,##0"/>
  </x:numFmts>
  <x:fonts count="16">
    <x:font>
      <x:sz val="11"/>
      <x:color theme="1"/>
      <x:name val="Calibri"/>
      <x:scheme val="minor"/>
    </x:font>
    <x:font>
      <x:sz val="11"/>
      <x:color theme="1"/>
      <x:name val="Calibri"/>
      <x:family val="2"/>
    </x:font>
    <x:font>
      <x:sz val="11"/>
      <x:color rgb="FF000000"/>
      <x:name val="Calibri"/>
      <x:family val="2"/>
    </x:font>
    <x:font>
      <x:b/>
      <x:sz val="11"/>
      <x:color theme="1"/>
      <x:name val="Calibri"/>
      <x:family val="2"/>
    </x:font>
    <x:font>
      <x:b/>
      <x:sz val="11"/>
      <x:color rgb="FF000000"/>
      <x:name val="Calibri"/>
      <x:family val="2"/>
    </x:font>
    <x:font>
      <x:b/>
      <x:sz val="9"/>
      <x:color theme="1"/>
      <x:name val="Calibri"/>
      <x:family val="2"/>
    </x:font>
    <x:font>
      <x:sz val="11"/>
      <x:color theme="1"/>
      <x:name val="Calibri"/>
      <x:family val="2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</x:font>
    <x:font>
      <x:u val="single"/>
      <x:sz val="9"/>
      <x:color rgb="FF0563C1"/>
      <x:name val="Calibri"/>
      <x:family val="2"/>
    </x:font>
    <x:font>
      <x:i/>
      <x:sz val="8"/>
      <x:color theme="1"/>
      <x:name val="Calibri"/>
      <x:family val="2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</x:font>
    <x:font>
      <x:b/>
      <x:sz val="11"/>
      <x:color rgb="FF000000"/>
      <x:name val="Calibri"/>
      <x:family val="2"/>
    </x:font>
    <x:font>
      <x:b/>
      <x:sz val="11"/>
      <x:color theme="1"/>
      <x:name val="Calibri"/>
      <x:family val="2"/>
      <x:scheme val="maj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2CC"/>
      </x:patternFill>
    </x:fill>
    <x:fill>
      <x:patternFill patternType="solid">
        <x:fgColor rgb="FFD8D8D8"/>
      </x:patternFill>
    </x:fill>
    <x:fill>
      <x:patternFill patternType="solid">
        <x:fgColor rgb="FFB6D7A8"/>
      </x:patternFill>
    </x:fill>
    <x:fill>
      <x:patternFill patternType="solid">
        <x:fgColor rgb="FFD9E1F2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double">
        <x:color rgb="FF000000"/>
      </x:bottom>
      <x:diagonal/>
    </x:border>
    <x:border>
      <x:left/>
      <x:right/>
      <x:top/>
      <x:bottom style="thin">
        <x:color rgb="FF8EA9DB"/>
      </x:bottom>
      <x:diagonal/>
    </x:border>
    <x:border>
      <x:left/>
      <x:right/>
      <x:top style="thin">
        <x:color rgb="FF8EA9DB"/>
      </x:top>
      <x:bottom/>
      <x:diagonal/>
    </x:border>
  </x:borders>
  <x:cellStyleXfs count="1">
    <x:xf numFmtId="0" fontId="0" fillId="0" borderId="2"/>
  </x:cellStyleXfs>
  <x:cellXfs count="94">
    <x:xf numFmtId="0" fontId="0" fillId="0" borderId="0" xfId="0"/>
    <x:xf numFmtId="0" fontId="1" fillId="0" borderId="0" xfId="0"/>
    <x:xf numFmtId="4" fontId="1" fillId="0" borderId="0" xfId="0"/>
    <x:xf numFmtId="164" fontId="1" fillId="0" borderId="0" xfId="0"/>
    <x:xf numFmtId="2" fontId="1" fillId="0" borderId="0" xfId="0"/>
    <x:xf numFmtId="0" fontId="2" fillId="0" borderId="0" xfId="0" applyAlignment="1">
      <x:alignment horizontal="left"/>
    </x:xf>
    <x:xf numFmtId="0" fontId="2" fillId="0" borderId="0" xfId="0"/>
    <x:xf numFmtId="0" fontId="4" fillId="0" borderId="0" xfId="0"/>
    <x:xf numFmtId="165" fontId="7" fillId="0" borderId="0" xfId="0"/>
    <x:xf numFmtId="0" fontId="7" fillId="0" borderId="0" xfId="0"/>
    <x:xf numFmtId="0" fontId="6" fillId="0" borderId="0" xfId="0"/>
    <x:xf numFmtId="4" fontId="2" fillId="0" borderId="0" xfId="0" applyAlignment="1">
      <x:alignment horizontal="right"/>
    </x:xf>
    <x:xf numFmtId="4" fontId="2" fillId="0" borderId="0" xfId="0" applyAlignment="1">
      <x:alignment horizontal="center"/>
    </x:xf>
    <x:xf numFmtId="4" fontId="2" fillId="5" borderId="0" xfId="0" applyAlignment="1">
      <x:alignment horizontal="right"/>
    </x:xf>
    <x:xf numFmtId="4" fontId="2" fillId="0" borderId="0" xfId="0" applyAlignment="1">
      <x:alignment horizontal="left"/>
    </x:xf>
    <x:xf numFmtId="0" fontId="8" fillId="0" borderId="0" xfId="0"/>
    <x:xf numFmtId="4" fontId="8" fillId="0" borderId="0" xfId="0" applyAlignment="1">
      <x:alignment horizontal="right"/>
    </x:xf>
    <x:xf numFmtId="4" fontId="4" fillId="0" borderId="0" xfId="0" applyAlignment="1">
      <x:alignment horizontal="right"/>
    </x:xf>
    <x:xf numFmtId="4" fontId="8" fillId="0" borderId="0" xfId="0"/>
    <x:xf numFmtId="166" fontId="2" fillId="0" borderId="0" xfId="0" applyAlignment="1">
      <x:alignment horizontal="right"/>
    </x:xf>
    <x:xf numFmtId="21" fontId="2" fillId="0" borderId="0" xfId="0" applyAlignment="1">
      <x:alignment horizontal="right"/>
    </x:xf>
    <x:xf numFmtId="0" fontId="2" fillId="0" borderId="0" xfId="0" applyAlignment="1">
      <x:alignment horizontal="right"/>
    </x:xf>
    <x:xf numFmtId="14" fontId="2" fillId="0" borderId="0" xfId="0" applyAlignment="1">
      <x:alignment horizontal="right"/>
    </x:xf>
    <x:xf numFmtId="21" fontId="2" fillId="0" borderId="0" xfId="0"/>
    <x:xf numFmtId="0" fontId="5" fillId="0" borderId="0" xfId="0"/>
    <x:xf numFmtId="0" fontId="7" fillId="0" borderId="1" xfId="0"/>
    <x:xf numFmtId="167" fontId="7" fillId="0" borderId="1" xfId="0"/>
    <x:xf numFmtId="0" fontId="5" fillId="0" borderId="3" xfId="0"/>
    <x:xf numFmtId="0" fontId="7" fillId="0" borderId="3" xfId="0"/>
    <x:xf numFmtId="167" fontId="7" fillId="0" borderId="3" xfId="0"/>
    <x:xf numFmtId="0" fontId="9" fillId="0" borderId="4" xfId="0"/>
    <x:xf numFmtId="4" fontId="7" fillId="0" borderId="0" xfId="0"/>
    <x:xf numFmtId="167" fontId="7" fillId="0" borderId="0" xfId="0"/>
    <x:xf numFmtId="0" fontId="5" fillId="3" borderId="5" xfId="0"/>
    <x:xf numFmtId="168" fontId="7" fillId="3" borderId="5" xfId="0"/>
    <x:xf numFmtId="169" fontId="7" fillId="0" borderId="0" xfId="0"/>
    <x:xf numFmtId="170" fontId="7" fillId="0" borderId="0" xfId="0"/>
    <x:xf numFmtId="171" fontId="7" fillId="0" borderId="0" xfId="0"/>
    <x:xf numFmtId="167" fontId="5" fillId="0" borderId="3" xfId="0"/>
    <x:xf numFmtId="164" fontId="7" fillId="0" borderId="0" xfId="0"/>
    <x:xf numFmtId="0" fontId="5" fillId="0" borderId="6" xfId="0"/>
    <x:xf numFmtId="167" fontId="5" fillId="0" borderId="6" xfId="0"/>
    <x:xf numFmtId="0" fontId="4" fillId="6" borderId="7" xfId="0"/>
    <x:xf numFmtId="0" fontId="4" fillId="6" borderId="7" xfId="0" applyAlignment="1">
      <x:alignment horizontal="center"/>
    </x:xf>
    <x:xf numFmtId="4" fontId="4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4" fillId="0" borderId="0" xfId="0" applyAlignment="1">
      <x:alignment vertical="center"/>
    </x:xf>
    <x:xf numFmtId="0" fontId="3" fillId="2" borderId="0" xfId="0" applyAlignment="1">
      <x:alignment vertical="center"/>
    </x:xf>
    <x:xf numFmtId="172" fontId="11" fillId="0" borderId="0" xfId="0"/>
    <x:xf numFmtId="173" fontId="11" fillId="0" borderId="0" xfId="0"/>
    <x:xf numFmtId="0" fontId="11" fillId="0" borderId="0" xfId="0"/>
    <x:xf numFmtId="0" fontId="1" fillId="0" borderId="0" xfId="0" applyAlignment="1">
      <x:alignment horizontal="center"/>
    </x:xf>
    <x:xf numFmtId="4" fontId="11" fillId="0" borderId="0" xfId="0"/>
    <x:xf numFmtId="0" fontId="4" fillId="6" borderId="8" xfId="0" applyAlignment="1">
      <x:alignment horizontal="left"/>
    </x:xf>
    <x:xf numFmtId="4" fontId="4" fillId="6" borderId="8" xfId="0" applyAlignment="1">
      <x:alignment horizontal="center"/>
    </x:xf>
    <x:xf numFmtId="0" fontId="4" fillId="0" borderId="8" xfId="0" applyAlignment="1">
      <x:alignment horizontal="left"/>
    </x:xf>
    <x:xf numFmtId="4" fontId="4" fillId="0" borderId="8" xfId="0" applyAlignment="1">
      <x:alignment horizontal="center"/>
    </x:xf>
    <x:xf numFmtId="174" fontId="2" fillId="0" borderId="0" xfId="0" applyAlignment="1">
      <x:alignment horizontal="right"/>
    </x:xf>
    <x:xf numFmtId="174" fontId="2" fillId="0" borderId="0" xfId="0"/>
    <x:xf numFmtId="0" fontId="13" fillId="0" borderId="0" xfId="0"/>
    <x:xf numFmtId="15" fontId="13" fillId="0" borderId="0" xfId="0"/>
    <x:xf numFmtId="0" fontId="14" fillId="0" borderId="0" xfId="0"/>
    <x:xf numFmtId="0" fontId="12" fillId="0" borderId="0" xfId="0"/>
    <x:xf numFmtId="0" fontId="15" fillId="0" borderId="0" xfId="0"/>
    <x:xf numFmtId="175" fontId="0" fillId="0" borderId="2" xfId="0"/>
    <x:xf numFmtId="0" fontId="13" fillId="0" borderId="0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176" fontId="0" fillId="0" borderId="0" xfId="0"/>
    <x:xf numFmtId="176" fontId="8" fillId="0" borderId="0" xfId="0"/>
    <x:xf numFmtId="176" fontId="2" fillId="0" borderId="2" xfId="0"/>
    <x:xf numFmtId="164" fontId="1" fillId="0" borderId="2" xfId="0" applyAlignment="1">
      <x:alignment horizontal="center"/>
    </x:xf>
    <x:xf numFmtId="0" fontId="0" fillId="0" borderId="0" xfId="0"/>
    <x:xf numFmtId="0" fontId="2" fillId="0" borderId="2" xfId="0"/>
    <x:xf numFmtId="0" fontId="10" fillId="4" borderId="2" xfId="0" applyAlignment="1">
      <x:alignment horizontal="center"/>
    </x:xf>
    <x:xf numFmtId="0" fontId="7" fillId="0" borderId="5" xfId="0" applyAlignment="1">
      <x:alignment horizontal="center"/>
    </x:xf>
    <x:xf numFmtId="0" fontId="0" fillId="0" borderId="5" xfId="0"/>
    <x:xf numFmtId="0" fontId="5" fillId="0" borderId="2" xfId="0" applyAlignment="1">
      <x:alignment horizontal="center"/>
    </x:xf>
    <x:xf numFmtId="176" fontId="0" fillId="0" borderId="0" xfId="0"/>
    <x:xf numFmtId="176" fontId="8" fillId="0" borderId="0" xfId="0"/>
    <x:xf numFmtId="175" fontId="0" fillId="0" borderId="2" xfId="0"/>
    <x:xf numFmtId="167" fontId="7" fillId="0" borderId="1" xfId="0"/>
    <x:xf numFmtId="167" fontId="7" fillId="0" borderId="3" xfId="0"/>
    <x:xf numFmtId="167" fontId="7" fillId="0" borderId="0" xfId="0"/>
    <x:xf numFmtId="168" fontId="7" fillId="3" borderId="5" xfId="0"/>
    <x:xf numFmtId="169" fontId="7" fillId="0" borderId="0" xfId="0"/>
    <x:xf numFmtId="170" fontId="7" fillId="0" borderId="0" xfId="0"/>
    <x:xf numFmtId="171" fontId="7" fillId="0" borderId="0" xfId="0"/>
    <x:xf numFmtId="167" fontId="5" fillId="0" borderId="3" xfId="0"/>
    <x:xf numFmtId="167" fontId="5" fillId="0" borderId="6" xfId="0"/>
    <x:xf numFmtId="172" fontId="11" fillId="0" borderId="0" xfId="0"/>
    <x:xf numFmtId="173" fontId="11" fillId="0" borderId="0" xfId="0"/>
    <x:xf numFmtId="176" fontId="2" fillId="0" borderId="2" xfId="0"/>
    <x:xf numFmtId="174" fontId="2" fillId="0" borderId="0" xfId="0" applyAlignment="1">
      <x:alignment horizontal="right"/>
    </x:xf>
    <x:xf numFmtId="174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ced74d8734a69" /><Relationship Type="http://schemas.openxmlformats.org/officeDocument/2006/relationships/theme" Target="/xl/theme/theme1.xml" Id="R58808b30aa1b46b0" /><Relationship Type="http://schemas.openxmlformats.org/officeDocument/2006/relationships/sharedStrings" Target="/xl/sharedStrings.xml" Id="R790a8257d060400b" /><Relationship Type="http://schemas.openxmlformats.org/officeDocument/2006/relationships/worksheet" Target="/xl/worksheets/sheet1.xml" Id="Ra1aec26822604d14" /><Relationship Type="http://schemas.openxmlformats.org/officeDocument/2006/relationships/worksheet" Target="/xl/worksheets/sheet2.xml" Id="Re257849af3d24a70" /><Relationship Type="http://schemas.openxmlformats.org/officeDocument/2006/relationships/worksheet" Target="/xl/worksheets/sheet3.xml" Id="R86dd5a6a0a48404d" /><Relationship Type="http://schemas.openxmlformats.org/officeDocument/2006/relationships/worksheet" Target="/xl/worksheets/sheet4.xml" Id="R301baffe5d634c84" /><Relationship Type="http://schemas.openxmlformats.org/officeDocument/2006/relationships/worksheet" Target="/xl/worksheets/sheet5.xml" Id="Ra3a1789d03804140" /><Relationship Type="http://schemas.openxmlformats.org/officeDocument/2006/relationships/worksheet" Target="/xl/worksheets/sheet6.xml" Id="Rae456df350cc4165" /><Relationship Type="http://schemas.openxmlformats.org/officeDocument/2006/relationships/worksheet" Target="/xl/worksheets/sheet7.xml" Id="R4757edce46a94454" /><Relationship Type="http://schemas.openxmlformats.org/officeDocument/2006/relationships/worksheet" Target="/xl/worksheets/sheet8.xml" Id="Rdb592604df424734" /><Relationship Type="http://schemas.openxmlformats.org/officeDocument/2006/relationships/worksheet" Target="/xl/worksheets/sheet9.xml" Id="Rcd64868353394b5d" /><Relationship Type="http://schemas.openxmlformats.org/officeDocument/2006/relationships/worksheet" Target="/xl/worksheets/sheet10.xml" Id="R789b526d3f184a7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4.44140625" defaultRowHeight="14.399999618530273"/>
  <x:cols>
    <x:col min="1" max="1" width="11.88671875" style="71" customWidth="1"/>
    <x:col min="2" max="2" width="11.5546875" style="71" customWidth="1"/>
    <x:col min="3" max="3" width="21.33203125" style="71" customWidth="1"/>
    <x:col min="4" max="4" width="8.88671875" style="71" customWidth="1"/>
    <x:col min="5" max="26" width="8.6640625" style="71" customWidth="1"/>
  </x:cols>
  <x:sheetData>
    <x:row r="1" s="71" customFormat="1" ht="14.25" customHeight="1">
      <x:c r="A1" s="70" t="inlineStr">
        <x:is>
          <x:t xml:space="preserve">Range of Compensation</x:t>
        </x:is>
      </x:c>
      <x:c r="C1" s="1" t="inlineStr">
        <x:is>
          <x:t xml:space="preserve">EE Contribution</x:t>
        </x:is>
      </x:c>
      <x:c r="D1" s="2" t="inlineStr">
        <x:is>
          <x:t xml:space="preserve">ER</x:t>
        </x:is>
      </x:c>
    </x:row>
    <x:row r="2" s="71" customFormat="1" ht="14.25" customHeight="1">
      <x:c r="A2" s="3" t="n">
        <x:v>12750</x:v>
      </x:c>
      <x:c r="B2" s="3" t="n">
        <x:v>13249.99</x:v>
      </x:c>
      <x:c r="C2" s="4" t="n">
        <x:v>650</x:v>
      </x:c>
      <x:c r="D2" s="2" t="n">
        <x:v>1310</x:v>
      </x:c>
    </x:row>
    <x:row r="3" s="71" customFormat="1" ht="14.25" customHeight="1">
      <x:c r="A3" s="3" t="n">
        <x:v>13250</x:v>
      </x:c>
      <x:c r="B3" s="3" t="n">
        <x:v>13749.99</x:v>
      </x:c>
      <x:c r="C3" s="4" t="n">
        <x:v>675</x:v>
      </x:c>
      <x:c r="D3" s="2" t="n">
        <x:v>1360</x:v>
      </x:c>
    </x:row>
    <x:row r="4" s="71" customFormat="1" ht="14.25" customHeight="1">
      <x:c r="A4" s="3" t="n">
        <x:v>13750</x:v>
      </x:c>
      <x:c r="B4" s="3" t="n">
        <x:v>14249.99</x:v>
      </x:c>
      <x:c r="C4" s="4" t="n">
        <x:v>700</x:v>
      </x:c>
      <x:c r="D4" s="2" t="n">
        <x:v>1410</x:v>
      </x:c>
    </x:row>
    <x:row r="5" s="71" customFormat="1" ht="14.25" customHeight="1">
      <x:c r="A5" s="3" t="n">
        <x:v>14250</x:v>
      </x:c>
      <x:c r="B5" s="3" t="n">
        <x:v>14749.99</x:v>
      </x:c>
      <x:c r="C5" s="4" t="n">
        <x:v>725</x:v>
      </x:c>
      <x:c r="D5" s="2" t="n">
        <x:v>1460</x:v>
      </x:c>
    </x:row>
    <x:row r="6" s="71" customFormat="1" ht="14.25" customHeight="1">
      <x:c r="A6" s="3" t="n">
        <x:v>14750</x:v>
      </x:c>
      <x:c r="B6" s="3" t="n">
        <x:v>15249.99</x:v>
      </x:c>
      <x:c r="C6" s="4" t="n">
        <x:v>750</x:v>
      </x:c>
      <x:c r="D6" s="2" t="n">
        <x:v>1530</x:v>
      </x:c>
    </x:row>
    <x:row r="7" s="71" customFormat="1" ht="14.25" customHeight="1">
      <x:c r="A7" s="3" t="n">
        <x:v>15250</x:v>
      </x:c>
      <x:c r="B7" s="3" t="n">
        <x:v>15749.99</x:v>
      </x:c>
      <x:c r="C7" s="4" t="n">
        <x:v>775</x:v>
      </x:c>
      <x:c r="D7" s="2" t="n">
        <x:v>1580</x:v>
      </x:c>
    </x:row>
    <x:row r="8" s="71" customFormat="1" ht="14.25" customHeight="1">
      <x:c r="A8" s="3" t="n">
        <x:v>15750</x:v>
      </x:c>
      <x:c r="B8" s="3" t="n">
        <x:v>16249.99</x:v>
      </x:c>
      <x:c r="C8" s="4" t="n">
        <x:v>800</x:v>
      </x:c>
      <x:c r="D8" s="2" t="n">
        <x:v>1630</x:v>
      </x:c>
    </x:row>
    <x:row r="9" s="71" customFormat="1" ht="14.25" customHeight="1">
      <x:c r="A9" s="3" t="n">
        <x:v>16250</x:v>
      </x:c>
      <x:c r="B9" s="3" t="n">
        <x:v>16749.99</x:v>
      </x:c>
      <x:c r="C9" s="4" t="n">
        <x:v>825</x:v>
      </x:c>
      <x:c r="D9" s="2" t="n">
        <x:v>1680</x:v>
      </x:c>
    </x:row>
    <x:row r="10" s="71" customFormat="1" ht="14.25" customHeight="1">
      <x:c r="A10" s="3" t="n">
        <x:v>16750</x:v>
      </x:c>
      <x:c r="B10" s="3" t="n">
        <x:v>17249.99</x:v>
      </x:c>
      <x:c r="C10" s="4" t="n">
        <x:v>850</x:v>
      </x:c>
      <x:c r="D10" s="2" t="n">
        <x:v>1730</x:v>
      </x:c>
    </x:row>
    <x:row r="11" s="71" customFormat="1" ht="14.25" customHeight="1">
      <x:c r="A11" s="3" t="n">
        <x:v>17250</x:v>
      </x:c>
      <x:c r="B11" s="3" t="n">
        <x:v>17749.99</x:v>
      </x:c>
      <x:c r="C11" s="4" t="n">
        <x:v>875</x:v>
      </x:c>
      <x:c r="D11" s="2" t="n">
        <x:v>1780</x:v>
      </x:c>
    </x:row>
    <x:row r="12" s="71" customFormat="1" ht="14.25" customHeight="1">
      <x:c r="A12" s="3" t="n">
        <x:v>17750</x:v>
      </x:c>
      <x:c r="B12" s="3" t="n">
        <x:v>18249.99</x:v>
      </x:c>
      <x:c r="C12" s="4" t="n">
        <x:v>900</x:v>
      </x:c>
      <x:c r="D12" s="2" t="n">
        <x:v>1830</x:v>
      </x:c>
    </x:row>
    <x:row r="13" s="71" customFormat="1" ht="14.25" customHeight="1">
      <x:c r="A13" s="3" t="n">
        <x:v>18250</x:v>
      </x:c>
      <x:c r="B13" s="3" t="n">
        <x:v>18749.99</x:v>
      </x:c>
      <x:c r="C13" s="4" t="n">
        <x:v>925</x:v>
      </x:c>
      <x:c r="D13" s="2" t="n">
        <x:v>1880</x:v>
      </x:c>
    </x:row>
    <x:row r="14" s="71" customFormat="1" ht="14.25" customHeight="1">
      <x:c r="A14" s="3" t="n">
        <x:v>18750</x:v>
      </x:c>
      <x:c r="B14" s="3" t="n">
        <x:v>19249.99</x:v>
      </x:c>
      <x:c r="C14" s="4" t="n">
        <x:v>950</x:v>
      </x:c>
      <x:c r="D14" s="2" t="n">
        <x:v>1930</x:v>
      </x:c>
    </x:row>
    <x:row r="15" s="71" customFormat="1" ht="14.25" customHeight="1">
      <x:c r="A15" s="3" t="n">
        <x:v>19250</x:v>
      </x:c>
      <x:c r="B15" s="3" t="n">
        <x:v>19749.99</x:v>
      </x:c>
      <x:c r="C15" s="4" t="n">
        <x:v>975</x:v>
      </x:c>
      <x:c r="D15" s="2" t="n">
        <x:v>1980</x:v>
      </x:c>
    </x:row>
    <x:row r="16" s="71" customFormat="1" ht="14.25" customHeight="1">
      <x:c r="A16" s="3" t="n">
        <x:v>19750</x:v>
      </x:c>
      <x:c r="B16" s="3" t="n">
        <x:v>20249.99</x:v>
      </x:c>
      <x:c r="C16" s="4" t="n">
        <x:v>1000</x:v>
      </x:c>
      <x:c r="D16" s="2" t="n">
        <x:v>2030</x:v>
      </x:c>
    </x:row>
    <x:row r="17" s="71" customFormat="1" ht="14.25" customHeight="1">
      <x:c r="A17" s="3" t="n">
        <x:v>20250</x:v>
      </x:c>
      <x:c r="B17" s="3" t="n">
        <x:v>20749.99</x:v>
      </x:c>
      <x:c r="C17" s="4" t="n">
        <x:v>1025</x:v>
      </x:c>
      <x:c r="D17" s="2" t="n">
        <x:v>2080</x:v>
      </x:c>
    </x:row>
    <x:row r="18" s="71" customFormat="1" ht="14.25" customHeight="1">
      <x:c r="A18" s="3" t="n">
        <x:v>20750</x:v>
      </x:c>
      <x:c r="B18" s="3" t="n">
        <x:v>21249.99</x:v>
      </x:c>
      <x:c r="C18" s="4" t="n">
        <x:v>1050</x:v>
      </x:c>
      <x:c r="D18" s="2" t="n">
        <x:v>2130</x:v>
      </x:c>
    </x:row>
    <x:row r="19" s="71" customFormat="1" ht="14.25" customHeight="1">
      <x:c r="A19" s="3" t="n">
        <x:v>21250</x:v>
      </x:c>
      <x:c r="B19" s="3" t="n">
        <x:v>21749.99</x:v>
      </x:c>
      <x:c r="C19" s="4" t="n">
        <x:v>1075</x:v>
      </x:c>
      <x:c r="D19" s="2" t="n">
        <x:v>2180</x:v>
      </x:c>
    </x:row>
    <x:row r="20" s="71" customFormat="1" ht="14.25" customHeight="1">
      <x:c r="A20" s="3" t="n">
        <x:v>21750</x:v>
      </x:c>
      <x:c r="B20" s="3" t="n">
        <x:v>22249.99</x:v>
      </x:c>
      <x:c r="C20" s="4" t="n">
        <x:v>1100</x:v>
      </x:c>
      <x:c r="D20" s="2" t="n">
        <x:v>2230</x:v>
      </x:c>
    </x:row>
    <x:row r="21" s="71" customFormat="1" ht="14.25" customHeight="1">
      <x:c r="A21" s="3" t="n">
        <x:v>22250</x:v>
      </x:c>
      <x:c r="B21" s="3" t="n">
        <x:v>22749.99</x:v>
      </x:c>
      <x:c r="C21" s="4" t="n">
        <x:v>1125</x:v>
      </x:c>
      <x:c r="D21" s="2" t="n">
        <x:v>2280</x:v>
      </x:c>
    </x:row>
    <x:row r="22" s="71" customFormat="1" ht="14.25" customHeight="1">
      <x:c r="A22" s="3" t="n">
        <x:v>22750</x:v>
      </x:c>
      <x:c r="B22" s="3" t="n">
        <x:v>23249.99</x:v>
      </x:c>
      <x:c r="C22" s="4" t="n">
        <x:v>1150</x:v>
      </x:c>
      <x:c r="D22" s="2" t="n">
        <x:v>2330</x:v>
      </x:c>
    </x:row>
    <x:row r="23" s="71" customFormat="1" ht="14.25" customHeight="1">
      <x:c r="A23" s="3" t="n">
        <x:v>23250</x:v>
      </x:c>
      <x:c r="B23" s="3" t="n">
        <x:v>23749.99</x:v>
      </x:c>
      <x:c r="C23" s="4" t="n">
        <x:v>1175</x:v>
      </x:c>
      <x:c r="D23" s="2" t="n">
        <x:v>2380</x:v>
      </x:c>
    </x:row>
    <x:row r="24" s="71" customFormat="1" ht="14.25" customHeight="1">
      <x:c r="A24" s="3" t="n">
        <x:v>23750</x:v>
      </x:c>
      <x:c r="B24" s="3" t="n">
        <x:v>24249.99</x:v>
      </x:c>
      <x:c r="C24" s="4" t="n">
        <x:v>1200</x:v>
      </x:c>
      <x:c r="D24" s="2" t="n">
        <x:v>2430</x:v>
      </x:c>
    </x:row>
    <x:row r="25" s="71" customFormat="1" ht="14.25" customHeight="1">
      <x:c r="A25" s="3" t="n">
        <x:v>24250</x:v>
      </x:c>
      <x:c r="B25" s="3" t="n">
        <x:v>24749.99</x:v>
      </x:c>
      <x:c r="C25" s="4" t="n">
        <x:v>1225</x:v>
      </x:c>
      <x:c r="D25" s="2" t="n">
        <x:v>2480</x:v>
      </x:c>
    </x:row>
    <x:row r="26" s="71" customFormat="1" ht="14.25" customHeight="1">
      <x:c r="A26" s="3" t="n">
        <x:v>24750</x:v>
      </x:c>
      <x:c r="B26" s="3" t="n">
        <x:v>25249.99</x:v>
      </x:c>
      <x:c r="C26" s="4" t="n">
        <x:v>1250</x:v>
      </x:c>
      <x:c r="D26" s="2" t="n">
        <x:v>2530</x:v>
      </x:c>
    </x:row>
    <x:row r="27" s="71" customFormat="1" ht="14.25" customHeight="1">
      <x:c r="A27" s="3" t="n">
        <x:v>25250</x:v>
      </x:c>
      <x:c r="B27" s="3" t="n">
        <x:v>25749.99</x:v>
      </x:c>
      <x:c r="C27" s="4" t="n">
        <x:v>1275</x:v>
      </x:c>
      <x:c r="D27" s="2" t="n">
        <x:v>2580</x:v>
      </x:c>
    </x:row>
    <x:row r="28" s="71" customFormat="1" ht="14.25" customHeight="1">
      <x:c r="A28" s="3" t="n">
        <x:v>25750</x:v>
      </x:c>
      <x:c r="B28" s="3" t="n">
        <x:v>26249.99</x:v>
      </x:c>
      <x:c r="C28" s="4" t="n">
        <x:v>1300</x:v>
      </x:c>
      <x:c r="D28" s="2" t="n">
        <x:v>2630</x:v>
      </x:c>
    </x:row>
    <x:row r="29" s="71" customFormat="1" ht="14.25" customHeight="1">
      <x:c r="A29" s="3" t="n">
        <x:v>26250</x:v>
      </x:c>
      <x:c r="B29" s="3" t="n">
        <x:v>26749.99</x:v>
      </x:c>
      <x:c r="C29" s="4" t="n">
        <x:v>1325</x:v>
      </x:c>
      <x:c r="D29" s="2" t="n">
        <x:v>2680</x:v>
      </x:c>
    </x:row>
    <x:row r="30" s="71" customFormat="1" ht="14.25" customHeight="1">
      <x:c r="A30" s="3" t="n">
        <x:v>26750</x:v>
      </x:c>
      <x:c r="B30" s="3" t="n">
        <x:v>27249.99</x:v>
      </x:c>
      <x:c r="C30" s="4" t="n">
        <x:v>1350</x:v>
      </x:c>
      <x:c r="D30" s="2" t="n">
        <x:v>2730</x:v>
      </x:c>
    </x:row>
    <x:row r="31" s="71" customFormat="1" ht="14.25" customHeight="1">
      <x:c r="A31" s="3" t="n">
        <x:v>27250</x:v>
      </x:c>
      <x:c r="B31" s="3" t="n">
        <x:v>27749.99</x:v>
      </x:c>
      <x:c r="C31" s="4" t="n">
        <x:v>1375</x:v>
      </x:c>
      <x:c r="D31" s="2" t="n">
        <x:v>2780</x:v>
      </x:c>
    </x:row>
    <x:row r="32" s="71" customFormat="1" ht="14.25" customHeight="1">
      <x:c r="A32" s="3" t="n">
        <x:v>27750</x:v>
      </x:c>
      <x:c r="B32" s="3" t="n">
        <x:v>28249.99</x:v>
      </x:c>
      <x:c r="C32" s="4" t="n">
        <x:v>1400</x:v>
      </x:c>
      <x:c r="D32" s="2" t="n">
        <x:v>2830</x:v>
      </x:c>
    </x:row>
    <x:row r="33" s="71" customFormat="1" ht="14.25" customHeight="1">
      <x:c r="A33" s="3" t="n">
        <x:v>28250</x:v>
      </x:c>
      <x:c r="B33" s="3" t="n">
        <x:v>28749.99</x:v>
      </x:c>
      <x:c r="C33" s="4" t="n">
        <x:v>1425</x:v>
      </x:c>
      <x:c r="D33" s="2" t="n">
        <x:v>2880</x:v>
      </x:c>
    </x:row>
    <x:row r="34" s="71" customFormat="1" ht="14.25" customHeight="1">
      <x:c r="A34" s="3" t="n">
        <x:v>28750</x:v>
      </x:c>
      <x:c r="B34" s="3" t="n">
        <x:v>29249.99</x:v>
      </x:c>
      <x:c r="C34" s="4" t="n">
        <x:v>1450</x:v>
      </x:c>
      <x:c r="D34" s="2" t="n">
        <x:v>2930</x:v>
      </x:c>
    </x:row>
    <x:row r="35" s="71" customFormat="1" ht="14.25" customHeight="1">
      <x:c r="A35" s="3" t="n">
        <x:v>29250</x:v>
      </x:c>
      <x:c r="B35" s="3" t="n">
        <x:v>29749.99</x:v>
      </x:c>
      <x:c r="C35" s="4" t="n">
        <x:v>1475</x:v>
      </x:c>
      <x:c r="D35" s="2" t="n">
        <x:v>2980</x:v>
      </x:c>
    </x:row>
    <x:row r="36" s="71" customFormat="1" ht="14.25" customHeight="1">
      <x:c r="A36" s="3" t="n">
        <x:v>29750</x:v>
      </x:c>
      <x:c r="B36" s="3" t="n">
        <x:v>30249.99</x:v>
      </x:c>
      <x:c r="C36" s="4" t="n">
        <x:v>1500</x:v>
      </x:c>
      <x:c r="D36" s="2" t="n">
        <x:v>3030</x:v>
      </x:c>
    </x:row>
    <x:row r="37" s="71" customFormat="1" ht="14.25" customHeight="1">
      <x:c r="A37" s="3" t="n">
        <x:v>30250</x:v>
      </x:c>
      <x:c r="B37" s="3" t="n">
        <x:v>30749.99</x:v>
      </x:c>
      <x:c r="C37" s="4" t="n">
        <x:v>1525</x:v>
      </x:c>
      <x:c r="D37" s="2" t="n">
        <x:v>3080</x:v>
      </x:c>
    </x:row>
    <x:row r="38" s="71" customFormat="1" ht="14.25" customHeight="1">
      <x:c r="A38" s="3" t="n">
        <x:v>30750</x:v>
      </x:c>
      <x:c r="B38" s="3" t="n">
        <x:v>31249.99</x:v>
      </x:c>
      <x:c r="C38" s="4" t="n">
        <x:v>1550</x:v>
      </x:c>
      <x:c r="D38" s="2" t="n">
        <x:v>3130</x:v>
      </x:c>
    </x:row>
    <x:row r="39" s="71" customFormat="1" ht="14.25" customHeight="1">
      <x:c r="A39" s="3" t="n">
        <x:v>31250</x:v>
      </x:c>
      <x:c r="B39" s="3" t="n">
        <x:v>31749.99</x:v>
      </x:c>
      <x:c r="C39" s="4" t="n">
        <x:v>1575</x:v>
      </x:c>
      <x:c r="D39" s="2" t="n">
        <x:v>3180</x:v>
      </x:c>
    </x:row>
    <x:row r="40" s="71" customFormat="1" ht="14.25" customHeight="1">
      <x:c r="A40" s="3" t="n">
        <x:v>31750</x:v>
      </x:c>
      <x:c r="B40" s="3" t="n">
        <x:v>32249.99</x:v>
      </x:c>
      <x:c r="C40" s="4" t="n">
        <x:v>1600</x:v>
      </x:c>
      <x:c r="D40" s="2" t="n">
        <x:v>3230</x:v>
      </x:c>
    </x:row>
    <x:row r="41" s="71" customFormat="1" ht="14.25" customHeight="1">
      <x:c r="A41" s="3" t="n">
        <x:v>32250</x:v>
      </x:c>
      <x:c r="B41" s="3" t="n">
        <x:v>32749.99</x:v>
      </x:c>
      <x:c r="C41" s="4" t="n">
        <x:v>1625</x:v>
      </x:c>
      <x:c r="D41" s="2" t="n">
        <x:v>3280</x:v>
      </x:c>
    </x:row>
    <x:row r="42" s="71" customFormat="1" ht="14.25" customHeight="1">
      <x:c r="A42" s="3" t="n">
        <x:v>32750</x:v>
      </x:c>
      <x:c r="B42" s="3" t="n">
        <x:v>33249.99</x:v>
      </x:c>
      <x:c r="C42" s="4" t="n">
        <x:v>1650</x:v>
      </x:c>
      <x:c r="D42" s="2" t="n">
        <x:v>3330</x:v>
      </x:c>
    </x:row>
    <x:row r="43" s="71" customFormat="1" ht="14.25" customHeight="1">
      <x:c r="A43" s="3" t="n">
        <x:v>33250</x:v>
      </x:c>
      <x:c r="B43" s="3" t="n">
        <x:v>33749.99</x:v>
      </x:c>
      <x:c r="C43" s="4" t="n">
        <x:v>1675</x:v>
      </x:c>
      <x:c r="D43" s="2" t="n">
        <x:v>3380</x:v>
      </x:c>
    </x:row>
    <x:row r="44" s="71" customFormat="1" ht="14.25" customHeight="1">
      <x:c r="A44" s="3" t="n">
        <x:v>33750</x:v>
      </x:c>
      <x:c r="B44" s="3" t="n">
        <x:v>34249.99</x:v>
      </x:c>
      <x:c r="C44" s="4" t="n">
        <x:v>1700</x:v>
      </x:c>
      <x:c r="D44" s="2" t="n">
        <x:v>3430</x:v>
      </x:c>
    </x:row>
    <x:row r="45" s="71" customFormat="1" ht="14.25" customHeight="1">
      <x:c r="A45" s="3" t="n">
        <x:v>34250</x:v>
      </x:c>
      <x:c r="B45" s="3" t="n">
        <x:v>34749.99</x:v>
      </x:c>
      <x:c r="C45" s="4" t="n">
        <x:v>1725</x:v>
      </x:c>
      <x:c r="D45" s="2" t="n">
        <x:v>3480</x:v>
      </x:c>
    </x:row>
    <x:row r="46" s="71" customFormat="1" ht="14.25" customHeight="1">
      <x:c r="A46" s="3" t="n">
        <x:v>34750</x:v>
      </x:c>
      <x:c r="B46" s="3" t="n"/>
      <x:c r="C46" s="4" t="n">
        <x:v>1750</x:v>
      </x:c>
      <x:c r="D46" s="2" t="n">
        <x:v>3530</x:v>
      </x:c>
    </x:row>
    <x:row r="47" s="71" customFormat="1" ht="14.25" customHeight="1">
      <x:c r="A47" s="3" t="n"/>
      <x:c r="B47" s="3" t="n"/>
      <x:c r="D47" s="2" t="n"/>
    </x:row>
    <x:row r="48" s="71" customFormat="1" ht="14.25" customHeight="1">
      <x:c r="A48" s="3" t="n"/>
      <x:c r="B48" s="3" t="n"/>
      <x:c r="D48" s="2" t="n"/>
    </x:row>
    <x:row r="49" s="71" customFormat="1" ht="14.25" customHeight="1">
      <x:c r="A49" s="3" t="n"/>
      <x:c r="B49" s="3" t="n"/>
      <x:c r="D49" s="2" t="n"/>
    </x:row>
    <x:row r="50" s="71" customFormat="1" ht="14.25" customHeight="1">
      <x:c r="A50" s="3" t="n"/>
      <x:c r="B50" s="3" t="n"/>
      <x:c r="D50" s="2" t="n"/>
    </x:row>
    <x:row r="51" s="71" customFormat="1" ht="14.25" customHeight="1">
      <x:c r="A51" s="3" t="n"/>
      <x:c r="B51" s="3" t="n"/>
      <x:c r="D51" s="2" t="n"/>
    </x:row>
    <x:row r="52" s="71" customFormat="1" ht="14.25" customHeight="1">
      <x:c r="A52" s="3" t="n"/>
      <x:c r="B52" s="3" t="n"/>
      <x:c r="D52" s="2" t="n"/>
    </x:row>
    <x:row r="53" s="71" customFormat="1" ht="14.25" customHeight="1">
      <x:c r="A53" s="3" t="n"/>
      <x:c r="B53" s="3" t="n"/>
      <x:c r="D53" s="2" t="n"/>
    </x:row>
    <x:row r="54" s="71" customFormat="1" ht="14.25" customHeight="1">
      <x:c r="A54" s="3" t="n"/>
      <x:c r="B54" s="3" t="n"/>
      <x:c r="D54" s="2" t="n"/>
    </x:row>
    <x:row r="55" s="71" customFormat="1" ht="14.25" customHeight="1">
      <x:c r="A55" s="3" t="n"/>
      <x:c r="B55" s="3" t="n"/>
      <x:c r="D55" s="2" t="n"/>
    </x:row>
    <x:row r="56" s="71" customFormat="1" ht="14.25" customHeight="1">
      <x:c r="A56" s="3" t="n"/>
      <x:c r="B56" s="3" t="n"/>
      <x:c r="D56" s="2" t="n"/>
    </x:row>
    <x:row r="57" s="71" customFormat="1" ht="14.25" customHeight="1">
      <x:c r="A57" s="3" t="n"/>
      <x:c r="B57" s="3" t="n"/>
      <x:c r="D57" s="2" t="n"/>
    </x:row>
    <x:row r="58" s="71" customFormat="1" ht="14.25" customHeight="1">
      <x:c r="A58" s="3" t="n"/>
      <x:c r="B58" s="3" t="n"/>
      <x:c r="D58" s="2" t="n"/>
    </x:row>
    <x:row r="59" s="71" customFormat="1" ht="14.25" customHeight="1">
      <x:c r="A59" s="3" t="n"/>
      <x:c r="B59" s="3" t="n"/>
      <x:c r="D59" s="2" t="n"/>
    </x:row>
    <x:row r="60" s="71" customFormat="1" ht="14.25" customHeight="1">
      <x:c r="A60" s="3" t="n"/>
      <x:c r="B60" s="3" t="n"/>
      <x:c r="D60" s="2" t="n"/>
    </x:row>
    <x:row r="61" s="71" customFormat="1" ht="14.25" customHeight="1">
      <x:c r="A61" s="3" t="n"/>
      <x:c r="B61" s="3" t="n"/>
      <x:c r="D61" s="2" t="n"/>
    </x:row>
    <x:row r="62" s="71" customFormat="1" ht="14.25" customHeight="1">
      <x:c r="A62" s="3" t="n"/>
      <x:c r="B62" s="3" t="n"/>
      <x:c r="D62" s="2" t="n"/>
    </x:row>
    <x:row r="63" s="71" customFormat="1" ht="14.25" customHeight="1">
      <x:c r="A63" s="3" t="n"/>
      <x:c r="B63" s="3" t="n"/>
      <x:c r="D63" s="2" t="n"/>
    </x:row>
    <x:row r="64" s="71" customFormat="1" ht="14.25" customHeight="1">
      <x:c r="A64" s="3" t="n"/>
      <x:c r="B64" s="3" t="n"/>
      <x:c r="D64" s="2" t="n"/>
    </x:row>
    <x:row r="65" s="71" customFormat="1" ht="14.25" customHeight="1">
      <x:c r="A65" s="3" t="n"/>
      <x:c r="B65" s="3" t="n"/>
      <x:c r="D65" s="2" t="n"/>
    </x:row>
    <x:row r="66" s="71" customFormat="1" ht="14.25" customHeight="1">
      <x:c r="A66" s="3" t="n"/>
      <x:c r="B66" s="3" t="n"/>
      <x:c r="D66" s="2" t="n"/>
    </x:row>
    <x:row r="67" s="71" customFormat="1" ht="14.25" customHeight="1">
      <x:c r="A67" s="3" t="n"/>
      <x:c r="B67" s="3" t="n"/>
      <x:c r="D67" s="2" t="n"/>
    </x:row>
    <x:row r="68" s="71" customFormat="1" ht="14.25" customHeight="1">
      <x:c r="A68" s="3" t="n"/>
      <x:c r="B68" s="3" t="n"/>
      <x:c r="D68" s="2" t="n"/>
    </x:row>
    <x:row r="69" s="71" customFormat="1" ht="14.25" customHeight="1">
      <x:c r="A69" s="3" t="n"/>
      <x:c r="B69" s="3" t="n"/>
      <x:c r="D69" s="2" t="n"/>
    </x:row>
    <x:row r="70" s="71" customFormat="1" ht="14.25" customHeight="1">
      <x:c r="A70" s="3" t="n"/>
      <x:c r="B70" s="3" t="n"/>
      <x:c r="D70" s="2" t="n"/>
    </x:row>
    <x:row r="71" s="71" customFormat="1" ht="14.25" customHeight="1">
      <x:c r="A71" s="3" t="n"/>
      <x:c r="B71" s="3" t="n"/>
      <x:c r="D71" s="2" t="n"/>
    </x:row>
    <x:row r="72" s="71" customFormat="1" ht="14.25" customHeight="1">
      <x:c r="A72" s="3" t="n"/>
      <x:c r="B72" s="3" t="n"/>
      <x:c r="D72" s="2" t="n"/>
    </x:row>
    <x:row r="73" s="71" customFormat="1" ht="14.25" customHeight="1">
      <x:c r="A73" s="3" t="n"/>
      <x:c r="B73" s="3" t="n"/>
      <x:c r="D73" s="2" t="n"/>
    </x:row>
    <x:row r="74" s="71" customFormat="1" ht="14.25" customHeight="1">
      <x:c r="A74" s="3" t="n"/>
      <x:c r="B74" s="3" t="n"/>
      <x:c r="D74" s="2" t="n"/>
    </x:row>
    <x:row r="75" s="71" customFormat="1" ht="14.25" customHeight="1">
      <x:c r="A75" s="3" t="n"/>
      <x:c r="B75" s="3" t="n"/>
      <x:c r="D75" s="2" t="n"/>
    </x:row>
    <x:row r="76" s="71" customFormat="1" ht="14.25" customHeight="1">
      <x:c r="A76" s="3" t="n"/>
      <x:c r="B76" s="3" t="n"/>
      <x:c r="D76" s="2" t="n"/>
    </x:row>
    <x:row r="77" s="71" customFormat="1" ht="14.25" customHeight="1">
      <x:c r="A77" s="3" t="n"/>
      <x:c r="B77" s="3" t="n"/>
      <x:c r="D77" s="2" t="n"/>
    </x:row>
    <x:row r="78" s="71" customFormat="1" ht="14.25" customHeight="1">
      <x:c r="A78" s="3" t="n"/>
      <x:c r="B78" s="3" t="n"/>
      <x:c r="D78" s="2" t="n"/>
    </x:row>
    <x:row r="79" s="71" customFormat="1" ht="14.25" customHeight="1">
      <x:c r="A79" s="3" t="n"/>
      <x:c r="B79" s="3" t="n"/>
      <x:c r="D79" s="2" t="n"/>
    </x:row>
    <x:row r="80" s="71" customFormat="1" ht="14.25" customHeight="1">
      <x:c r="A80" s="3" t="n"/>
      <x:c r="B80" s="3" t="n"/>
      <x:c r="D80" s="2" t="n"/>
    </x:row>
    <x:row r="81" s="71" customFormat="1" ht="14.25" customHeight="1">
      <x:c r="A81" s="3" t="n"/>
      <x:c r="B81" s="3" t="n"/>
      <x:c r="D81" s="2" t="n"/>
    </x:row>
    <x:row r="82" s="71" customFormat="1" ht="14.25" customHeight="1">
      <x:c r="A82" s="3" t="n"/>
      <x:c r="B82" s="3" t="n"/>
      <x:c r="D82" s="2" t="n"/>
    </x:row>
    <x:row r="83" s="71" customFormat="1" ht="14.25" customHeight="1">
      <x:c r="A83" s="3" t="n"/>
      <x:c r="B83" s="3" t="n"/>
      <x:c r="D83" s="2" t="n"/>
    </x:row>
    <x:row r="84" s="71" customFormat="1" ht="14.25" customHeight="1">
      <x:c r="A84" s="3" t="n"/>
      <x:c r="B84" s="3" t="n"/>
      <x:c r="D84" s="2" t="n"/>
    </x:row>
    <x:row r="85" s="71" customFormat="1" ht="14.25" customHeight="1">
      <x:c r="A85" s="3" t="n"/>
      <x:c r="B85" s="3" t="n"/>
      <x:c r="D85" s="2" t="n"/>
    </x:row>
    <x:row r="86" s="71" customFormat="1" ht="14.25" customHeight="1">
      <x:c r="A86" s="3" t="n"/>
      <x:c r="B86" s="3" t="n"/>
      <x:c r="D86" s="2" t="n"/>
    </x:row>
    <x:row r="87" s="71" customFormat="1" ht="14.25" customHeight="1">
      <x:c r="A87" s="3" t="n"/>
      <x:c r="B87" s="3" t="n"/>
      <x:c r="D87" s="2" t="n"/>
    </x:row>
    <x:row r="88" s="71" customFormat="1" ht="14.25" customHeight="1">
      <x:c r="A88" s="3" t="n"/>
      <x:c r="B88" s="3" t="n"/>
      <x:c r="D88" s="2" t="n"/>
    </x:row>
    <x:row r="89" s="71" customFormat="1" ht="14.25" customHeight="1">
      <x:c r="A89" s="3" t="n"/>
      <x:c r="B89" s="3" t="n"/>
      <x:c r="D89" s="2" t="n"/>
    </x:row>
    <x:row r="90" s="71" customFormat="1" ht="14.25" customHeight="1">
      <x:c r="A90" s="3" t="n"/>
      <x:c r="B90" s="3" t="n"/>
      <x:c r="D90" s="2" t="n"/>
    </x:row>
    <x:row r="91" s="71" customFormat="1" ht="14.25" customHeight="1">
      <x:c r="A91" s="3" t="n"/>
      <x:c r="B91" s="3" t="n"/>
      <x:c r="D91" s="2" t="n"/>
    </x:row>
    <x:row r="92" s="71" customFormat="1" ht="14.25" customHeight="1">
      <x:c r="A92" s="3" t="n"/>
      <x:c r="B92" s="3" t="n"/>
      <x:c r="D92" s="2" t="n"/>
    </x:row>
    <x:row r="93" s="71" customFormat="1" ht="14.25" customHeight="1">
      <x:c r="A93" s="3" t="n"/>
      <x:c r="B93" s="3" t="n"/>
      <x:c r="D93" s="2" t="n"/>
    </x:row>
    <x:row r="94" s="71" customFormat="1" ht="14.25" customHeight="1">
      <x:c r="A94" s="3" t="n"/>
      <x:c r="B94" s="3" t="n"/>
      <x:c r="D94" s="2" t="n"/>
    </x:row>
    <x:row r="95" s="71" customFormat="1" ht="14.25" customHeight="1">
      <x:c r="A95" s="3" t="n"/>
      <x:c r="B95" s="3" t="n"/>
      <x:c r="D95" s="2" t="n"/>
    </x:row>
    <x:row r="96" s="71" customFormat="1" ht="14.25" customHeight="1">
      <x:c r="A96" s="3" t="n"/>
      <x:c r="B96" s="3" t="n"/>
      <x:c r="D96" s="2" t="n"/>
    </x:row>
    <x:row r="97" s="71" customFormat="1" ht="14.25" customHeight="1">
      <x:c r="A97" s="3" t="n"/>
      <x:c r="B97" s="3" t="n"/>
      <x:c r="D97" s="2" t="n"/>
    </x:row>
    <x:row r="98" s="71" customFormat="1" ht="14.25" customHeight="1">
      <x:c r="A98" s="3" t="n"/>
      <x:c r="B98" s="3" t="n"/>
      <x:c r="D98" s="2" t="n"/>
    </x:row>
    <x:row r="99" s="71" customFormat="1" ht="14.25" customHeight="1">
      <x:c r="A99" s="3" t="n"/>
      <x:c r="B99" s="3" t="n"/>
      <x:c r="D99" s="2" t="n"/>
    </x:row>
    <x:row r="100" s="71" customFormat="1" ht="14.25" customHeight="1">
      <x:c r="A100" s="3" t="n"/>
      <x:c r="B100" s="3" t="n"/>
      <x:c r="D100" s="2" t="n"/>
    </x:row>
    <x:row r="101" s="71" customFormat="1" ht="14.25" customHeight="1">
      <x:c r="A101" s="3" t="n"/>
      <x:c r="B101" s="3" t="n"/>
      <x:c r="D101" s="2" t="n"/>
    </x:row>
    <x:row r="102" s="71" customFormat="1" ht="14.25" customHeight="1">
      <x:c r="A102" s="3" t="n"/>
      <x:c r="B102" s="3" t="n"/>
      <x:c r="D102" s="2" t="n"/>
    </x:row>
    <x:row r="103" s="71" customFormat="1" ht="14.25" customHeight="1">
      <x:c r="A103" s="3" t="n"/>
      <x:c r="B103" s="3" t="n"/>
      <x:c r="D103" s="2" t="n"/>
    </x:row>
    <x:row r="104" s="71" customFormat="1" ht="14.25" customHeight="1">
      <x:c r="A104" s="3" t="n"/>
      <x:c r="B104" s="3" t="n"/>
      <x:c r="D104" s="2" t="n"/>
    </x:row>
    <x:row r="105" s="71" customFormat="1" ht="14.25" customHeight="1">
      <x:c r="A105" s="3" t="n"/>
      <x:c r="B105" s="3" t="n"/>
      <x:c r="D105" s="2" t="n"/>
    </x:row>
    <x:row r="106" s="71" customFormat="1" ht="14.25" customHeight="1">
      <x:c r="A106" s="3" t="n"/>
      <x:c r="B106" s="3" t="n"/>
      <x:c r="D106" s="2" t="n"/>
    </x:row>
    <x:row r="107" s="71" customFormat="1" ht="14.25" customHeight="1">
      <x:c r="A107" s="3" t="n"/>
      <x:c r="B107" s="3" t="n"/>
      <x:c r="D107" s="2" t="n"/>
    </x:row>
    <x:row r="108" s="71" customFormat="1" ht="14.25" customHeight="1">
      <x:c r="A108" s="3" t="n"/>
      <x:c r="B108" s="3" t="n"/>
      <x:c r="D108" s="2" t="n"/>
    </x:row>
    <x:row r="109" s="71" customFormat="1" ht="14.25" customHeight="1">
      <x:c r="A109" s="3" t="n"/>
      <x:c r="B109" s="3" t="n"/>
      <x:c r="D109" s="2" t="n"/>
    </x:row>
    <x:row r="110" s="71" customFormat="1" ht="14.25" customHeight="1">
      <x:c r="A110" s="3" t="n"/>
      <x:c r="B110" s="3" t="n"/>
      <x:c r="D110" s="2" t="n"/>
    </x:row>
    <x:row r="111" s="71" customFormat="1" ht="14.25" customHeight="1">
      <x:c r="A111" s="3" t="n"/>
      <x:c r="B111" s="3" t="n"/>
      <x:c r="D111" s="2" t="n"/>
    </x:row>
    <x:row r="112" s="71" customFormat="1" ht="14.25" customHeight="1">
      <x:c r="A112" s="3" t="n"/>
      <x:c r="B112" s="3" t="n"/>
      <x:c r="D112" s="2" t="n"/>
    </x:row>
    <x:row r="113" s="71" customFormat="1" ht="14.25" customHeight="1">
      <x:c r="A113" s="3" t="n"/>
      <x:c r="B113" s="3" t="n"/>
      <x:c r="D113" s="2" t="n"/>
    </x:row>
    <x:row r="114" s="71" customFormat="1" ht="14.25" customHeight="1">
      <x:c r="A114" s="3" t="n"/>
      <x:c r="B114" s="3" t="n"/>
      <x:c r="D114" s="2" t="n"/>
    </x:row>
    <x:row r="115" s="71" customFormat="1" ht="14.25" customHeight="1">
      <x:c r="A115" s="3" t="n"/>
      <x:c r="B115" s="3" t="n"/>
      <x:c r="D115" s="2" t="n"/>
    </x:row>
    <x:row r="116" s="71" customFormat="1" ht="14.25" customHeight="1">
      <x:c r="A116" s="3" t="n"/>
      <x:c r="B116" s="3" t="n"/>
      <x:c r="D116" s="2" t="n"/>
    </x:row>
    <x:row r="117" s="71" customFormat="1" ht="14.25" customHeight="1">
      <x:c r="A117" s="3" t="n"/>
      <x:c r="B117" s="3" t="n"/>
      <x:c r="D117" s="2" t="n"/>
    </x:row>
    <x:row r="118" s="71" customFormat="1" ht="14.25" customHeight="1">
      <x:c r="A118" s="3" t="n"/>
      <x:c r="B118" s="3" t="n"/>
      <x:c r="D118" s="2" t="n"/>
    </x:row>
    <x:row r="119" s="71" customFormat="1" ht="14.25" customHeight="1">
      <x:c r="A119" s="3" t="n"/>
      <x:c r="B119" s="3" t="n"/>
      <x:c r="D119" s="2" t="n"/>
    </x:row>
    <x:row r="120" s="71" customFormat="1" ht="14.25" customHeight="1">
      <x:c r="A120" s="3" t="n"/>
      <x:c r="B120" s="3" t="n"/>
      <x:c r="D120" s="2" t="n"/>
    </x:row>
    <x:row r="121" s="71" customFormat="1" ht="14.25" customHeight="1">
      <x:c r="A121" s="3" t="n"/>
      <x:c r="B121" s="3" t="n"/>
      <x:c r="D121" s="2" t="n"/>
    </x:row>
    <x:row r="122" s="71" customFormat="1" ht="14.25" customHeight="1">
      <x:c r="A122" s="3" t="n"/>
      <x:c r="B122" s="3" t="n"/>
      <x:c r="D122" s="2" t="n"/>
    </x:row>
    <x:row r="123" s="71" customFormat="1" ht="14.25" customHeight="1">
      <x:c r="A123" s="3" t="n"/>
      <x:c r="B123" s="3" t="n"/>
      <x:c r="D123" s="2" t="n"/>
    </x:row>
    <x:row r="124" s="71" customFormat="1" ht="14.25" customHeight="1">
      <x:c r="A124" s="3" t="n"/>
      <x:c r="B124" s="3" t="n"/>
      <x:c r="D124" s="2" t="n"/>
    </x:row>
    <x:row r="125" s="71" customFormat="1" ht="14.25" customHeight="1">
      <x:c r="A125" s="3" t="n"/>
      <x:c r="B125" s="3" t="n"/>
      <x:c r="D125" s="2" t="n"/>
    </x:row>
    <x:row r="126" s="71" customFormat="1" ht="14.25" customHeight="1">
      <x:c r="A126" s="3" t="n"/>
      <x:c r="B126" s="3" t="n"/>
      <x:c r="D126" s="2" t="n"/>
    </x:row>
    <x:row r="127" s="71" customFormat="1" ht="14.25" customHeight="1">
      <x:c r="A127" s="3" t="n"/>
      <x:c r="B127" s="3" t="n"/>
      <x:c r="D127" s="2" t="n"/>
    </x:row>
    <x:row r="128" s="71" customFormat="1" ht="14.25" customHeight="1">
      <x:c r="A128" s="3" t="n"/>
      <x:c r="B128" s="3" t="n"/>
      <x:c r="D128" s="2" t="n"/>
    </x:row>
    <x:row r="129" s="71" customFormat="1" ht="14.25" customHeight="1">
      <x:c r="A129" s="3" t="n"/>
      <x:c r="B129" s="3" t="n"/>
      <x:c r="D129" s="2" t="n"/>
    </x:row>
    <x:row r="130" s="71" customFormat="1" ht="14.25" customHeight="1">
      <x:c r="A130" s="3" t="n"/>
      <x:c r="B130" s="3" t="n"/>
      <x:c r="D130" s="2" t="n"/>
    </x:row>
    <x:row r="131" s="71" customFormat="1" ht="14.25" customHeight="1">
      <x:c r="A131" s="3" t="n"/>
      <x:c r="B131" s="3" t="n"/>
      <x:c r="D131" s="2" t="n"/>
    </x:row>
    <x:row r="132" s="71" customFormat="1" ht="14.25" customHeight="1">
      <x:c r="A132" s="3" t="n"/>
      <x:c r="B132" s="3" t="n"/>
      <x:c r="D132" s="2" t="n"/>
    </x:row>
    <x:row r="133" s="71" customFormat="1" ht="14.25" customHeight="1">
      <x:c r="A133" s="3" t="n"/>
      <x:c r="B133" s="3" t="n"/>
      <x:c r="D133" s="2" t="n"/>
    </x:row>
    <x:row r="134" s="71" customFormat="1" ht="14.25" customHeight="1">
      <x:c r="A134" s="3" t="n"/>
      <x:c r="B134" s="3" t="n"/>
      <x:c r="D134" s="2" t="n"/>
    </x:row>
    <x:row r="135" s="71" customFormat="1" ht="14.25" customHeight="1">
      <x:c r="A135" s="3" t="n"/>
      <x:c r="B135" s="3" t="n"/>
      <x:c r="D135" s="2" t="n"/>
    </x:row>
    <x:row r="136" s="71" customFormat="1" ht="14.25" customHeight="1">
      <x:c r="A136" s="3" t="n"/>
      <x:c r="B136" s="3" t="n"/>
      <x:c r="D136" s="2" t="n"/>
    </x:row>
    <x:row r="137" s="71" customFormat="1" ht="14.25" customHeight="1">
      <x:c r="A137" s="3" t="n"/>
      <x:c r="B137" s="3" t="n"/>
      <x:c r="D137" s="2" t="n"/>
    </x:row>
    <x:row r="138" s="71" customFormat="1" ht="14.25" customHeight="1">
      <x:c r="A138" s="3" t="n"/>
      <x:c r="B138" s="3" t="n"/>
      <x:c r="D138" s="2" t="n"/>
    </x:row>
    <x:row r="139" s="71" customFormat="1" ht="14.25" customHeight="1">
      <x:c r="A139" s="3" t="n"/>
      <x:c r="B139" s="3" t="n"/>
      <x:c r="D139" s="2" t="n"/>
    </x:row>
    <x:row r="140" s="71" customFormat="1" ht="14.25" customHeight="1">
      <x:c r="A140" s="3" t="n"/>
      <x:c r="B140" s="3" t="n"/>
      <x:c r="D140" s="2" t="n"/>
    </x:row>
    <x:row r="141" s="71" customFormat="1" ht="14.25" customHeight="1">
      <x:c r="A141" s="3" t="n"/>
      <x:c r="B141" s="3" t="n"/>
      <x:c r="D141" s="2" t="n"/>
    </x:row>
    <x:row r="142" s="71" customFormat="1" ht="14.25" customHeight="1">
      <x:c r="A142" s="3" t="n"/>
      <x:c r="B142" s="3" t="n"/>
      <x:c r="D142" s="2" t="n"/>
    </x:row>
    <x:row r="143" s="71" customFormat="1" ht="14.25" customHeight="1">
      <x:c r="A143" s="3" t="n"/>
      <x:c r="B143" s="3" t="n"/>
      <x:c r="D143" s="2" t="n"/>
    </x:row>
    <x:row r="144" s="71" customFormat="1" ht="14.25" customHeight="1">
      <x:c r="A144" s="3" t="n"/>
      <x:c r="B144" s="3" t="n"/>
      <x:c r="D144" s="2" t="n"/>
    </x:row>
    <x:row r="145" s="71" customFormat="1" ht="14.25" customHeight="1">
      <x:c r="A145" s="3" t="n"/>
      <x:c r="B145" s="3" t="n"/>
      <x:c r="D145" s="2" t="n"/>
    </x:row>
    <x:row r="146" s="71" customFormat="1" ht="14.25" customHeight="1">
      <x:c r="A146" s="3" t="n"/>
      <x:c r="B146" s="3" t="n"/>
      <x:c r="D146" s="2" t="n"/>
    </x:row>
    <x:row r="147" s="71" customFormat="1" ht="14.25" customHeight="1">
      <x:c r="A147" s="3" t="n"/>
      <x:c r="B147" s="3" t="n"/>
      <x:c r="D147" s="2" t="n"/>
    </x:row>
    <x:row r="148" s="71" customFormat="1" ht="14.25" customHeight="1">
      <x:c r="A148" s="3" t="n"/>
      <x:c r="B148" s="3" t="n"/>
      <x:c r="D148" s="2" t="n"/>
    </x:row>
    <x:row r="149" s="71" customFormat="1" ht="14.25" customHeight="1">
      <x:c r="A149" s="3" t="n"/>
      <x:c r="B149" s="3" t="n"/>
      <x:c r="D149" s="2" t="n"/>
    </x:row>
    <x:row r="150" s="71" customFormat="1" ht="14.25" customHeight="1">
      <x:c r="A150" s="3" t="n"/>
      <x:c r="B150" s="3" t="n"/>
      <x:c r="D150" s="2" t="n"/>
    </x:row>
    <x:row r="151" s="71" customFormat="1" ht="14.25" customHeight="1">
      <x:c r="A151" s="3" t="n"/>
      <x:c r="B151" s="3" t="n"/>
      <x:c r="D151" s="2" t="n"/>
    </x:row>
    <x:row r="152" s="71" customFormat="1" ht="14.25" customHeight="1">
      <x:c r="A152" s="3" t="n"/>
      <x:c r="B152" s="3" t="n"/>
      <x:c r="D152" s="2" t="n"/>
    </x:row>
    <x:row r="153" s="71" customFormat="1" ht="14.25" customHeight="1">
      <x:c r="A153" s="3" t="n"/>
      <x:c r="B153" s="3" t="n"/>
      <x:c r="D153" s="2" t="n"/>
    </x:row>
    <x:row r="154" s="71" customFormat="1" ht="14.25" customHeight="1">
      <x:c r="A154" s="3" t="n"/>
      <x:c r="B154" s="3" t="n"/>
      <x:c r="D154" s="2" t="n"/>
    </x:row>
    <x:row r="155" s="71" customFormat="1" ht="14.25" customHeight="1">
      <x:c r="A155" s="3" t="n"/>
      <x:c r="B155" s="3" t="n"/>
      <x:c r="D155" s="2" t="n"/>
    </x:row>
    <x:row r="156" s="71" customFormat="1" ht="14.25" customHeight="1">
      <x:c r="A156" s="3" t="n"/>
      <x:c r="B156" s="3" t="n"/>
      <x:c r="D156" s="2" t="n"/>
    </x:row>
    <x:row r="157" s="71" customFormat="1" ht="14.25" customHeight="1">
      <x:c r="A157" s="3" t="n"/>
      <x:c r="B157" s="3" t="n"/>
      <x:c r="D157" s="2" t="n"/>
    </x:row>
    <x:row r="158" s="71" customFormat="1" ht="14.25" customHeight="1">
      <x:c r="A158" s="3" t="n"/>
      <x:c r="B158" s="3" t="n"/>
      <x:c r="D158" s="2" t="n"/>
    </x:row>
    <x:row r="159" s="71" customFormat="1" ht="14.25" customHeight="1">
      <x:c r="A159" s="3" t="n"/>
      <x:c r="B159" s="3" t="n"/>
      <x:c r="D159" s="2" t="n"/>
    </x:row>
    <x:row r="160" s="71" customFormat="1" ht="14.25" customHeight="1">
      <x:c r="A160" s="3" t="n"/>
      <x:c r="B160" s="3" t="n"/>
      <x:c r="D160" s="2" t="n"/>
    </x:row>
    <x:row r="161" s="71" customFormat="1" ht="14.25" customHeight="1">
      <x:c r="A161" s="3" t="n"/>
      <x:c r="B161" s="3" t="n"/>
      <x:c r="D161" s="2" t="n"/>
    </x:row>
    <x:row r="162" s="71" customFormat="1" ht="14.25" customHeight="1">
      <x:c r="A162" s="3" t="n"/>
      <x:c r="B162" s="3" t="n"/>
      <x:c r="D162" s="2" t="n"/>
    </x:row>
    <x:row r="163" s="71" customFormat="1" ht="14.25" customHeight="1">
      <x:c r="A163" s="3" t="n"/>
      <x:c r="B163" s="3" t="n"/>
      <x:c r="D163" s="2" t="n"/>
    </x:row>
    <x:row r="164" s="71" customFormat="1" ht="14.25" customHeight="1">
      <x:c r="A164" s="3" t="n"/>
      <x:c r="B164" s="3" t="n"/>
      <x:c r="D164" s="2" t="n"/>
    </x:row>
    <x:row r="165" s="71" customFormat="1" ht="14.25" customHeight="1">
      <x:c r="A165" s="3" t="n"/>
      <x:c r="B165" s="3" t="n"/>
      <x:c r="D165" s="2" t="n"/>
    </x:row>
    <x:row r="166" s="71" customFormat="1" ht="14.25" customHeight="1">
      <x:c r="A166" s="3" t="n"/>
      <x:c r="B166" s="3" t="n"/>
      <x:c r="D166" s="2" t="n"/>
    </x:row>
    <x:row r="167" s="71" customFormat="1" ht="14.25" customHeight="1">
      <x:c r="A167" s="3" t="n"/>
      <x:c r="B167" s="3" t="n"/>
      <x:c r="D167" s="2" t="n"/>
    </x:row>
    <x:row r="168" s="71" customFormat="1" ht="14.25" customHeight="1">
      <x:c r="A168" s="3" t="n"/>
      <x:c r="B168" s="3" t="n"/>
      <x:c r="D168" s="2" t="n"/>
    </x:row>
    <x:row r="169" s="71" customFormat="1" ht="14.25" customHeight="1">
      <x:c r="A169" s="3" t="n"/>
      <x:c r="B169" s="3" t="n"/>
      <x:c r="D169" s="2" t="n"/>
    </x:row>
    <x:row r="170" s="71" customFormat="1" ht="14.25" customHeight="1">
      <x:c r="A170" s="3" t="n"/>
      <x:c r="B170" s="3" t="n"/>
      <x:c r="D170" s="2" t="n"/>
    </x:row>
    <x:row r="171" s="71" customFormat="1" ht="14.25" customHeight="1">
      <x:c r="A171" s="3" t="n"/>
      <x:c r="B171" s="3" t="n"/>
      <x:c r="D171" s="2" t="n"/>
    </x:row>
    <x:row r="172" s="71" customFormat="1" ht="14.25" customHeight="1">
      <x:c r="A172" s="3" t="n"/>
      <x:c r="B172" s="3" t="n"/>
      <x:c r="D172" s="2" t="n"/>
    </x:row>
    <x:row r="173" s="71" customFormat="1" ht="14.25" customHeight="1">
      <x:c r="A173" s="3" t="n"/>
      <x:c r="B173" s="3" t="n"/>
      <x:c r="D173" s="2" t="n"/>
    </x:row>
    <x:row r="174" s="71" customFormat="1" ht="14.25" customHeight="1">
      <x:c r="A174" s="3" t="n"/>
      <x:c r="B174" s="3" t="n"/>
      <x:c r="D174" s="2" t="n"/>
    </x:row>
    <x:row r="175" s="71" customFormat="1" ht="14.25" customHeight="1">
      <x:c r="A175" s="3" t="n"/>
      <x:c r="B175" s="3" t="n"/>
      <x:c r="D175" s="2" t="n"/>
    </x:row>
    <x:row r="176" s="71" customFormat="1" ht="14.25" customHeight="1">
      <x:c r="A176" s="3" t="n"/>
      <x:c r="B176" s="3" t="n"/>
      <x:c r="D176" s="2" t="n"/>
    </x:row>
    <x:row r="177" s="71" customFormat="1" ht="14.25" customHeight="1">
      <x:c r="A177" s="3" t="n"/>
      <x:c r="B177" s="3" t="n"/>
      <x:c r="D177" s="2" t="n"/>
    </x:row>
    <x:row r="178" s="71" customFormat="1" ht="14.25" customHeight="1">
      <x:c r="A178" s="3" t="n"/>
      <x:c r="B178" s="3" t="n"/>
      <x:c r="D178" s="2" t="n"/>
    </x:row>
    <x:row r="179" s="71" customFormat="1" ht="14.25" customHeight="1">
      <x:c r="A179" s="3" t="n"/>
      <x:c r="B179" s="3" t="n"/>
      <x:c r="D179" s="2" t="n"/>
    </x:row>
    <x:row r="180" s="71" customFormat="1" ht="14.25" customHeight="1">
      <x:c r="A180" s="3" t="n"/>
      <x:c r="B180" s="3" t="n"/>
      <x:c r="D180" s="2" t="n"/>
    </x:row>
    <x:row r="181" s="71" customFormat="1" ht="14.25" customHeight="1">
      <x:c r="A181" s="3" t="n"/>
      <x:c r="B181" s="3" t="n"/>
      <x:c r="D181" s="2" t="n"/>
    </x:row>
    <x:row r="182" s="71" customFormat="1" ht="14.25" customHeight="1">
      <x:c r="A182" s="3" t="n"/>
      <x:c r="B182" s="3" t="n"/>
      <x:c r="D182" s="2" t="n"/>
    </x:row>
    <x:row r="183" s="71" customFormat="1" ht="14.25" customHeight="1">
      <x:c r="A183" s="3" t="n"/>
      <x:c r="B183" s="3" t="n"/>
      <x:c r="D183" s="2" t="n"/>
    </x:row>
    <x:row r="184" s="71" customFormat="1" ht="14.25" customHeight="1">
      <x:c r="A184" s="3" t="n"/>
      <x:c r="B184" s="3" t="n"/>
      <x:c r="D184" s="2" t="n"/>
    </x:row>
    <x:row r="185" s="71" customFormat="1" ht="14.25" customHeight="1">
      <x:c r="A185" s="3" t="n"/>
      <x:c r="B185" s="3" t="n"/>
      <x:c r="D185" s="2" t="n"/>
    </x:row>
    <x:row r="186" s="71" customFormat="1" ht="14.25" customHeight="1">
      <x:c r="A186" s="3" t="n"/>
      <x:c r="B186" s="3" t="n"/>
      <x:c r="D186" s="2" t="n"/>
    </x:row>
    <x:row r="187" s="71" customFormat="1" ht="14.25" customHeight="1">
      <x:c r="A187" s="3" t="n"/>
      <x:c r="B187" s="3" t="n"/>
      <x:c r="D187" s="2" t="n"/>
    </x:row>
    <x:row r="188" s="71" customFormat="1" ht="14.25" customHeight="1">
      <x:c r="A188" s="3" t="n"/>
      <x:c r="B188" s="3" t="n"/>
      <x:c r="D188" s="2" t="n"/>
    </x:row>
    <x:row r="189" s="71" customFormat="1" ht="14.25" customHeight="1">
      <x:c r="A189" s="3" t="n"/>
      <x:c r="B189" s="3" t="n"/>
      <x:c r="D189" s="2" t="n"/>
    </x:row>
    <x:row r="190" s="71" customFormat="1" ht="14.25" customHeight="1">
      <x:c r="A190" s="3" t="n"/>
      <x:c r="B190" s="3" t="n"/>
      <x:c r="D190" s="2" t="n"/>
    </x:row>
    <x:row r="191" s="71" customFormat="1" ht="14.25" customHeight="1">
      <x:c r="A191" s="3" t="n"/>
      <x:c r="B191" s="3" t="n"/>
      <x:c r="D191" s="2" t="n"/>
    </x:row>
    <x:row r="192" s="71" customFormat="1" ht="14.25" customHeight="1">
      <x:c r="A192" s="3" t="n"/>
      <x:c r="B192" s="3" t="n"/>
      <x:c r="D192" s="2" t="n"/>
    </x:row>
    <x:row r="193" s="71" customFormat="1" ht="14.25" customHeight="1">
      <x:c r="A193" s="3" t="n"/>
      <x:c r="B193" s="3" t="n"/>
      <x:c r="D193" s="2" t="n"/>
    </x:row>
    <x:row r="194" s="71" customFormat="1" ht="14.25" customHeight="1">
      <x:c r="A194" s="3" t="n"/>
      <x:c r="B194" s="3" t="n"/>
      <x:c r="D194" s="2" t="n"/>
    </x:row>
    <x:row r="195" s="71" customFormat="1" ht="14.25" customHeight="1">
      <x:c r="A195" s="3" t="n"/>
      <x:c r="B195" s="3" t="n"/>
      <x:c r="D195" s="2" t="n"/>
    </x:row>
    <x:row r="196" s="71" customFormat="1" ht="14.25" customHeight="1">
      <x:c r="A196" s="3" t="n"/>
      <x:c r="B196" s="3" t="n"/>
      <x:c r="D196" s="2" t="n"/>
    </x:row>
    <x:row r="197" s="71" customFormat="1" ht="14.25" customHeight="1">
      <x:c r="A197" s="3" t="n"/>
      <x:c r="B197" s="3" t="n"/>
      <x:c r="D197" s="2" t="n"/>
    </x:row>
    <x:row r="198" s="71" customFormat="1" ht="14.25" customHeight="1">
      <x:c r="A198" s="3" t="n"/>
      <x:c r="B198" s="3" t="n"/>
      <x:c r="D198" s="2" t="n"/>
    </x:row>
    <x:row r="199" s="71" customFormat="1" ht="14.25" customHeight="1">
      <x:c r="A199" s="3" t="n"/>
      <x:c r="B199" s="3" t="n"/>
      <x:c r="D199" s="2" t="n"/>
    </x:row>
    <x:row r="200" s="71" customFormat="1" ht="14.25" customHeight="1">
      <x:c r="A200" s="3" t="n"/>
      <x:c r="B200" s="3" t="n"/>
      <x:c r="D200" s="2" t="n"/>
    </x:row>
    <x:row r="201" s="71" customFormat="1" ht="14.25" customHeight="1">
      <x:c r="A201" s="3" t="n"/>
      <x:c r="B201" s="3" t="n"/>
      <x:c r="D201" s="2" t="n"/>
    </x:row>
    <x:row r="202" s="71" customFormat="1" ht="14.25" customHeight="1">
      <x:c r="A202" s="3" t="n"/>
      <x:c r="B202" s="3" t="n"/>
      <x:c r="D202" s="2" t="n"/>
    </x:row>
    <x:row r="203" s="71" customFormat="1" ht="14.25" customHeight="1">
      <x:c r="A203" s="3" t="n"/>
      <x:c r="B203" s="3" t="n"/>
      <x:c r="D203" s="2" t="n"/>
    </x:row>
    <x:row r="204" s="71" customFormat="1" ht="14.25" customHeight="1">
      <x:c r="A204" s="3" t="n"/>
      <x:c r="B204" s="3" t="n"/>
      <x:c r="D204" s="2" t="n"/>
    </x:row>
    <x:row r="205" s="71" customFormat="1" ht="14.25" customHeight="1">
      <x:c r="A205" s="3" t="n"/>
      <x:c r="B205" s="3" t="n"/>
      <x:c r="D205" s="2" t="n"/>
    </x:row>
    <x:row r="206" s="71" customFormat="1" ht="14.25" customHeight="1">
      <x:c r="A206" s="3" t="n"/>
      <x:c r="B206" s="3" t="n"/>
      <x:c r="D206" s="2" t="n"/>
    </x:row>
    <x:row r="207" s="71" customFormat="1" ht="14.25" customHeight="1">
      <x:c r="A207" s="3" t="n"/>
      <x:c r="B207" s="3" t="n"/>
      <x:c r="D207" s="2" t="n"/>
    </x:row>
    <x:row r="208" s="71" customFormat="1" ht="14.25" customHeight="1">
      <x:c r="A208" s="3" t="n"/>
      <x:c r="B208" s="3" t="n"/>
      <x:c r="D208" s="2" t="n"/>
    </x:row>
    <x:row r="209" s="71" customFormat="1" ht="14.25" customHeight="1">
      <x:c r="A209" s="3" t="n"/>
      <x:c r="B209" s="3" t="n"/>
      <x:c r="D209" s="2" t="n"/>
    </x:row>
    <x:row r="210" s="71" customFormat="1" ht="14.25" customHeight="1">
      <x:c r="A210" s="3" t="n"/>
      <x:c r="B210" s="3" t="n"/>
      <x:c r="D210" s="2" t="n"/>
    </x:row>
    <x:row r="211" s="71" customFormat="1" ht="14.25" customHeight="1">
      <x:c r="A211" s="3" t="n"/>
      <x:c r="B211" s="3" t="n"/>
      <x:c r="D211" s="2" t="n"/>
    </x:row>
    <x:row r="212" s="71" customFormat="1" ht="14.25" customHeight="1">
      <x:c r="A212" s="3" t="n"/>
      <x:c r="B212" s="3" t="n"/>
      <x:c r="D212" s="2" t="n"/>
    </x:row>
    <x:row r="213" s="71" customFormat="1" ht="14.25" customHeight="1">
      <x:c r="A213" s="3" t="n"/>
      <x:c r="B213" s="3" t="n"/>
      <x:c r="D213" s="2" t="n"/>
    </x:row>
    <x:row r="214" s="71" customFormat="1" ht="14.25" customHeight="1">
      <x:c r="A214" s="3" t="n"/>
      <x:c r="B214" s="3" t="n"/>
      <x:c r="D214" s="2" t="n"/>
    </x:row>
    <x:row r="215" s="71" customFormat="1" ht="14.25" customHeight="1">
      <x:c r="A215" s="3" t="n"/>
      <x:c r="B215" s="3" t="n"/>
      <x:c r="D215" s="2" t="n"/>
    </x:row>
    <x:row r="216" s="71" customFormat="1" ht="14.25" customHeight="1">
      <x:c r="A216" s="3" t="n"/>
      <x:c r="B216" s="3" t="n"/>
      <x:c r="D216" s="2" t="n"/>
    </x:row>
    <x:row r="217" s="71" customFormat="1" ht="14.25" customHeight="1">
      <x:c r="A217" s="3" t="n"/>
      <x:c r="B217" s="3" t="n"/>
      <x:c r="D217" s="2" t="n"/>
    </x:row>
    <x:row r="218" s="71" customFormat="1" ht="14.25" customHeight="1">
      <x:c r="A218" s="3" t="n"/>
      <x:c r="B218" s="3" t="n"/>
      <x:c r="D218" s="2" t="n"/>
    </x:row>
    <x:row r="219" s="71" customFormat="1" ht="14.25" customHeight="1">
      <x:c r="A219" s="3" t="n"/>
      <x:c r="B219" s="3" t="n"/>
      <x:c r="D219" s="2" t="n"/>
    </x:row>
    <x:row r="220" s="71" customFormat="1" ht="14.25" customHeight="1">
      <x:c r="A220" s="3" t="n"/>
      <x:c r="B220" s="3" t="n"/>
      <x:c r="D220" s="2" t="n"/>
    </x:row>
    <x:row r="221" s="71" customFormat="1" ht="14.25" customHeight="1">
      <x:c r="A221" s="3" t="n"/>
      <x:c r="B221" s="3" t="n"/>
      <x:c r="D221" s="2" t="n"/>
    </x:row>
    <x:row r="222" s="71" customFormat="1" ht="14.25" customHeight="1">
      <x:c r="A222" s="3" t="n"/>
      <x:c r="B222" s="3" t="n"/>
      <x:c r="D222" s="2" t="n"/>
    </x:row>
    <x:row r="223" s="71" customFormat="1" ht="14.25" customHeight="1">
      <x:c r="A223" s="3" t="n"/>
      <x:c r="B223" s="3" t="n"/>
      <x:c r="D223" s="2" t="n"/>
    </x:row>
    <x:row r="224" s="71" customFormat="1" ht="14.25" customHeight="1">
      <x:c r="A224" s="3" t="n"/>
      <x:c r="B224" s="3" t="n"/>
      <x:c r="D224" s="2" t="n"/>
    </x:row>
    <x:row r="225" s="71" customFormat="1" ht="14.25" customHeight="1">
      <x:c r="A225" s="3" t="n"/>
      <x:c r="B225" s="3" t="n"/>
      <x:c r="D225" s="2" t="n"/>
    </x:row>
    <x:row r="226" s="71" customFormat="1" ht="14.25" customHeight="1">
      <x:c r="A226" s="3" t="n"/>
      <x:c r="B226" s="3" t="n"/>
      <x:c r="D226" s="2" t="n"/>
    </x:row>
    <x:row r="227" s="71" customFormat="1" ht="14.25" customHeight="1">
      <x:c r="A227" s="3" t="n"/>
      <x:c r="B227" s="3" t="n"/>
      <x:c r="D227" s="2" t="n"/>
    </x:row>
    <x:row r="228" s="71" customFormat="1" ht="14.25" customHeight="1">
      <x:c r="A228" s="3" t="n"/>
      <x:c r="B228" s="3" t="n"/>
      <x:c r="D228" s="2" t="n"/>
    </x:row>
    <x:row r="229" s="71" customFormat="1" ht="14.25" customHeight="1">
      <x:c r="A229" s="3" t="n"/>
      <x:c r="B229" s="3" t="n"/>
      <x:c r="D229" s="2" t="n"/>
    </x:row>
    <x:row r="230" s="71" customFormat="1" ht="14.25" customHeight="1">
      <x:c r="A230" s="3" t="n"/>
      <x:c r="B230" s="3" t="n"/>
      <x:c r="D230" s="2" t="n"/>
    </x:row>
    <x:row r="231" s="71" customFormat="1" ht="14.25" customHeight="1">
      <x:c r="A231" s="3" t="n"/>
      <x:c r="B231" s="3" t="n"/>
      <x:c r="D231" s="2" t="n"/>
    </x:row>
    <x:row r="232" s="71" customFormat="1" ht="14.25" customHeight="1">
      <x:c r="A232" s="3" t="n"/>
      <x:c r="B232" s="3" t="n"/>
      <x:c r="D232" s="2" t="n"/>
    </x:row>
    <x:row r="233" s="71" customFormat="1" ht="14.25" customHeight="1">
      <x:c r="A233" s="3" t="n"/>
      <x:c r="B233" s="3" t="n"/>
      <x:c r="D233" s="2" t="n"/>
    </x:row>
    <x:row r="234" s="71" customFormat="1" ht="14.25" customHeight="1">
      <x:c r="A234" s="3" t="n"/>
      <x:c r="B234" s="3" t="n"/>
      <x:c r="D234" s="2" t="n"/>
    </x:row>
    <x:row r="235" s="71" customFormat="1" ht="14.25" customHeight="1">
      <x:c r="A235" s="3" t="n"/>
      <x:c r="B235" s="3" t="n"/>
      <x:c r="D235" s="2" t="n"/>
    </x:row>
    <x:row r="236" s="71" customFormat="1" ht="14.25" customHeight="1">
      <x:c r="A236" s="3" t="n"/>
      <x:c r="B236" s="3" t="n"/>
      <x:c r="D236" s="2" t="n"/>
    </x:row>
    <x:row r="237" s="71" customFormat="1" ht="14.25" customHeight="1">
      <x:c r="A237" s="3" t="n"/>
      <x:c r="B237" s="3" t="n"/>
      <x:c r="D237" s="2" t="n"/>
    </x:row>
    <x:row r="238" s="71" customFormat="1" ht="14.25" customHeight="1">
      <x:c r="A238" s="3" t="n"/>
      <x:c r="B238" s="3" t="n"/>
      <x:c r="D238" s="2" t="n"/>
    </x:row>
    <x:row r="239" s="71" customFormat="1" ht="14.25" customHeight="1">
      <x:c r="A239" s="3" t="n"/>
      <x:c r="B239" s="3" t="n"/>
      <x:c r="D239" s="2" t="n"/>
    </x:row>
    <x:row r="240" s="71" customFormat="1" ht="14.25" customHeight="1">
      <x:c r="A240" s="3" t="n"/>
      <x:c r="B240" s="3" t="n"/>
      <x:c r="D240" s="2" t="n"/>
    </x:row>
    <x:row r="241" s="71" customFormat="1" ht="14.25" customHeight="1">
      <x:c r="A241" s="3" t="n"/>
      <x:c r="B241" s="3" t="n"/>
      <x:c r="D241" s="2" t="n"/>
    </x:row>
    <x:row r="242" s="71" customFormat="1" ht="14.25" customHeight="1">
      <x:c r="A242" s="3" t="n"/>
      <x:c r="B242" s="3" t="n"/>
      <x:c r="D242" s="2" t="n"/>
    </x:row>
    <x:row r="243" s="71" customFormat="1" ht="14.25" customHeight="1">
      <x:c r="A243" s="3" t="n"/>
      <x:c r="B243" s="3" t="n"/>
      <x:c r="D243" s="2" t="n"/>
    </x:row>
    <x:row r="244" s="71" customFormat="1" ht="14.25" customHeight="1">
      <x:c r="A244" s="3" t="n"/>
      <x:c r="B244" s="3" t="n"/>
      <x:c r="D244" s="2" t="n"/>
    </x:row>
    <x:row r="245" s="71" customFormat="1" ht="14.25" customHeight="1">
      <x:c r="A245" s="3" t="n"/>
      <x:c r="B245" s="3" t="n"/>
      <x:c r="D245" s="2" t="n"/>
    </x:row>
    <x:row r="246" s="71" customFormat="1" ht="14.25" customHeight="1">
      <x:c r="A246" s="3" t="n"/>
      <x:c r="B246" s="3" t="n"/>
      <x:c r="D246" s="2" t="n"/>
    </x:row>
    <x:row r="247" s="71" customFormat="1" ht="14.25" customHeight="1">
      <x:c r="A247" s="3" t="n"/>
      <x:c r="B247" s="3" t="n"/>
      <x:c r="D247" s="2" t="n"/>
    </x:row>
    <x:row r="248" s="71" customFormat="1" ht="14.25" customHeight="1">
      <x:c r="A248" s="3" t="n"/>
      <x:c r="B248" s="3" t="n"/>
      <x:c r="D248" s="2" t="n"/>
    </x:row>
    <x:row r="249" s="71" customFormat="1" ht="14.25" customHeight="1">
      <x:c r="A249" s="3" t="n"/>
      <x:c r="B249" s="3" t="n"/>
      <x:c r="D249" s="2" t="n"/>
    </x:row>
    <x:row r="250" s="71" customFormat="1" ht="14.25" customHeight="1">
      <x:c r="A250" s="3" t="n"/>
      <x:c r="B250" s="3" t="n"/>
      <x:c r="D250" s="2" t="n"/>
    </x:row>
    <x:row r="251" s="71" customFormat="1" ht="14.25" customHeight="1">
      <x:c r="A251" s="3" t="n"/>
      <x:c r="B251" s="3" t="n"/>
      <x:c r="D251" s="2" t="n"/>
    </x:row>
    <x:row r="252" s="71" customFormat="1" ht="14.25" customHeight="1">
      <x:c r="A252" s="3" t="n"/>
      <x:c r="B252" s="3" t="n"/>
      <x:c r="D252" s="2" t="n"/>
    </x:row>
    <x:row r="253" s="71" customFormat="1" ht="14.25" customHeight="1">
      <x:c r="A253" s="3" t="n"/>
      <x:c r="B253" s="3" t="n"/>
      <x:c r="D253" s="2" t="n"/>
    </x:row>
    <x:row r="254" s="71" customFormat="1" ht="14.25" customHeight="1">
      <x:c r="A254" s="3" t="n"/>
      <x:c r="B254" s="3" t="n"/>
      <x:c r="D254" s="2" t="n"/>
    </x:row>
    <x:row r="255" s="71" customFormat="1" ht="14.25" customHeight="1">
      <x:c r="A255" s="3" t="n"/>
      <x:c r="B255" s="3" t="n"/>
      <x:c r="D255" s="2" t="n"/>
    </x:row>
    <x:row r="256" s="71" customFormat="1" ht="14.25" customHeight="1">
      <x:c r="A256" s="3" t="n"/>
      <x:c r="B256" s="3" t="n"/>
      <x:c r="D256" s="2" t="n"/>
    </x:row>
    <x:row r="257" s="71" customFormat="1" ht="14.25" customHeight="1">
      <x:c r="A257" s="3" t="n"/>
      <x:c r="B257" s="3" t="n"/>
      <x:c r="D257" s="2" t="n"/>
    </x:row>
    <x:row r="258" s="71" customFormat="1" ht="14.25" customHeight="1">
      <x:c r="A258" s="3" t="n"/>
      <x:c r="B258" s="3" t="n"/>
      <x:c r="D258" s="2" t="n"/>
    </x:row>
    <x:row r="259" s="71" customFormat="1" ht="14.25" customHeight="1">
      <x:c r="A259" s="3" t="n"/>
      <x:c r="B259" s="3" t="n"/>
      <x:c r="D259" s="2" t="n"/>
    </x:row>
    <x:row r="260" s="71" customFormat="1" ht="14.25" customHeight="1">
      <x:c r="A260" s="3" t="n"/>
      <x:c r="B260" s="3" t="n"/>
      <x:c r="D260" s="2" t="n"/>
    </x:row>
    <x:row r="261" s="71" customFormat="1" ht="14.25" customHeight="1">
      <x:c r="A261" s="3" t="n"/>
      <x:c r="B261" s="3" t="n"/>
      <x:c r="D261" s="2" t="n"/>
    </x:row>
    <x:row r="262" s="71" customFormat="1" ht="14.25" customHeight="1">
      <x:c r="A262" s="3" t="n"/>
      <x:c r="B262" s="3" t="n"/>
      <x:c r="D262" s="2" t="n"/>
    </x:row>
    <x:row r="263" s="71" customFormat="1" ht="14.25" customHeight="1">
      <x:c r="A263" s="3" t="n"/>
      <x:c r="B263" s="3" t="n"/>
      <x:c r="D263" s="2" t="n"/>
    </x:row>
    <x:row r="264" s="71" customFormat="1" ht="14.25" customHeight="1">
      <x:c r="A264" s="3" t="n"/>
      <x:c r="B264" s="3" t="n"/>
      <x:c r="D264" s="2" t="n"/>
    </x:row>
    <x:row r="265" s="71" customFormat="1" ht="14.25" customHeight="1">
      <x:c r="A265" s="3" t="n"/>
      <x:c r="B265" s="3" t="n"/>
      <x:c r="D265" s="2" t="n"/>
    </x:row>
    <x:row r="266" s="71" customFormat="1" ht="14.25" customHeight="1">
      <x:c r="A266" s="3" t="n"/>
      <x:c r="B266" s="3" t="n"/>
      <x:c r="D266" s="2" t="n"/>
    </x:row>
    <x:row r="267" s="71" customFormat="1" ht="14.25" customHeight="1">
      <x:c r="A267" s="3" t="n"/>
      <x:c r="B267" s="3" t="n"/>
      <x:c r="D267" s="2" t="n"/>
    </x:row>
    <x:row r="268" s="71" customFormat="1" ht="14.25" customHeight="1">
      <x:c r="A268" s="3" t="n"/>
      <x:c r="B268" s="3" t="n"/>
      <x:c r="D268" s="2" t="n"/>
    </x:row>
    <x:row r="269" s="71" customFormat="1" ht="14.25" customHeight="1">
      <x:c r="A269" s="3" t="n"/>
      <x:c r="B269" s="3" t="n"/>
      <x:c r="D269" s="2" t="n"/>
    </x:row>
    <x:row r="270" s="71" customFormat="1" ht="14.25" customHeight="1">
      <x:c r="A270" s="3" t="n"/>
      <x:c r="B270" s="3" t="n"/>
      <x:c r="D270" s="2" t="n"/>
    </x:row>
    <x:row r="271" s="71" customFormat="1" ht="14.25" customHeight="1">
      <x:c r="A271" s="3" t="n"/>
      <x:c r="B271" s="3" t="n"/>
      <x:c r="D271" s="2" t="n"/>
    </x:row>
    <x:row r="272" s="71" customFormat="1" ht="14.25" customHeight="1">
      <x:c r="A272" s="3" t="n"/>
      <x:c r="B272" s="3" t="n"/>
      <x:c r="D272" s="2" t="n"/>
    </x:row>
    <x:row r="273" s="71" customFormat="1" ht="14.25" customHeight="1">
      <x:c r="A273" s="3" t="n"/>
      <x:c r="B273" s="3" t="n"/>
      <x:c r="D273" s="2" t="n"/>
    </x:row>
    <x:row r="274" s="71" customFormat="1" ht="14.25" customHeight="1">
      <x:c r="A274" s="3" t="n"/>
      <x:c r="B274" s="3" t="n"/>
      <x:c r="D274" s="2" t="n"/>
    </x:row>
    <x:row r="275" s="71" customFormat="1" ht="14.25" customHeight="1">
      <x:c r="A275" s="3" t="n"/>
      <x:c r="B275" s="3" t="n"/>
      <x:c r="D275" s="2" t="n"/>
    </x:row>
    <x:row r="276" s="71" customFormat="1" ht="14.25" customHeight="1">
      <x:c r="A276" s="3" t="n"/>
      <x:c r="B276" s="3" t="n"/>
      <x:c r="D276" s="2" t="n"/>
    </x:row>
    <x:row r="277" s="71" customFormat="1" ht="14.25" customHeight="1">
      <x:c r="A277" s="3" t="n"/>
      <x:c r="B277" s="3" t="n"/>
      <x:c r="D277" s="2" t="n"/>
    </x:row>
    <x:row r="278" s="71" customFormat="1" ht="14.25" customHeight="1">
      <x:c r="A278" s="3" t="n"/>
      <x:c r="B278" s="3" t="n"/>
      <x:c r="D278" s="2" t="n"/>
    </x:row>
    <x:row r="279" s="71" customFormat="1" ht="14.25" customHeight="1">
      <x:c r="A279" s="3" t="n"/>
      <x:c r="B279" s="3" t="n"/>
      <x:c r="D279" s="2" t="n"/>
    </x:row>
    <x:row r="280" s="71" customFormat="1" ht="14.25" customHeight="1">
      <x:c r="A280" s="3" t="n"/>
      <x:c r="B280" s="3" t="n"/>
      <x:c r="D280" s="2" t="n"/>
    </x:row>
    <x:row r="281" s="71" customFormat="1" ht="14.25" customHeight="1">
      <x:c r="A281" s="3" t="n"/>
      <x:c r="B281" s="3" t="n"/>
      <x:c r="D281" s="2" t="n"/>
    </x:row>
    <x:row r="282" s="71" customFormat="1" ht="14.25" customHeight="1">
      <x:c r="A282" s="3" t="n"/>
      <x:c r="B282" s="3" t="n"/>
      <x:c r="D282" s="2" t="n"/>
    </x:row>
    <x:row r="283" s="71" customFormat="1" ht="14.25" customHeight="1">
      <x:c r="A283" s="3" t="n"/>
      <x:c r="B283" s="3" t="n"/>
      <x:c r="D283" s="2" t="n"/>
    </x:row>
    <x:row r="284" s="71" customFormat="1" ht="14.25" customHeight="1">
      <x:c r="A284" s="3" t="n"/>
      <x:c r="B284" s="3" t="n"/>
      <x:c r="D284" s="2" t="n"/>
    </x:row>
    <x:row r="285" s="71" customFormat="1" ht="14.25" customHeight="1">
      <x:c r="A285" s="3" t="n"/>
      <x:c r="B285" s="3" t="n"/>
      <x:c r="D285" s="2" t="n"/>
    </x:row>
    <x:row r="286" s="71" customFormat="1" ht="14.25" customHeight="1">
      <x:c r="A286" s="3" t="n"/>
      <x:c r="B286" s="3" t="n"/>
      <x:c r="D286" s="2" t="n"/>
    </x:row>
    <x:row r="287" s="71" customFormat="1" ht="14.25" customHeight="1">
      <x:c r="A287" s="3" t="n"/>
      <x:c r="B287" s="3" t="n"/>
      <x:c r="D287" s="2" t="n"/>
    </x:row>
    <x:row r="288" s="71" customFormat="1" ht="14.25" customHeight="1">
      <x:c r="A288" s="3" t="n"/>
      <x:c r="B288" s="3" t="n"/>
      <x:c r="D288" s="2" t="n"/>
    </x:row>
    <x:row r="289" s="71" customFormat="1" ht="14.25" customHeight="1">
      <x:c r="A289" s="3" t="n"/>
      <x:c r="B289" s="3" t="n"/>
      <x:c r="D289" s="2" t="n"/>
    </x:row>
    <x:row r="290" s="71" customFormat="1" ht="14.25" customHeight="1">
      <x:c r="A290" s="3" t="n"/>
      <x:c r="B290" s="3" t="n"/>
      <x:c r="D290" s="2" t="n"/>
    </x:row>
    <x:row r="291" s="71" customFormat="1" ht="14.25" customHeight="1">
      <x:c r="A291" s="3" t="n"/>
      <x:c r="B291" s="3" t="n"/>
      <x:c r="D291" s="2" t="n"/>
    </x:row>
    <x:row r="292" s="71" customFormat="1" ht="14.25" customHeight="1">
      <x:c r="A292" s="3" t="n"/>
      <x:c r="B292" s="3" t="n"/>
      <x:c r="D292" s="2" t="n"/>
    </x:row>
    <x:row r="293" s="71" customFormat="1" ht="14.25" customHeight="1">
      <x:c r="A293" s="3" t="n"/>
      <x:c r="B293" s="3" t="n"/>
      <x:c r="D293" s="2" t="n"/>
    </x:row>
    <x:row r="294" s="71" customFormat="1" ht="14.25" customHeight="1">
      <x:c r="A294" s="3" t="n"/>
      <x:c r="B294" s="3" t="n"/>
      <x:c r="D294" s="2" t="n"/>
    </x:row>
    <x:row r="295" s="71" customFormat="1" ht="14.25" customHeight="1">
      <x:c r="A295" s="3" t="n"/>
      <x:c r="B295" s="3" t="n"/>
      <x:c r="D295" s="2" t="n"/>
    </x:row>
    <x:row r="296" s="71" customFormat="1" ht="14.25" customHeight="1">
      <x:c r="A296" s="3" t="n"/>
      <x:c r="B296" s="3" t="n"/>
      <x:c r="D296" s="2" t="n"/>
    </x:row>
    <x:row r="297" s="71" customFormat="1" ht="14.25" customHeight="1">
      <x:c r="A297" s="3" t="n"/>
      <x:c r="B297" s="3" t="n"/>
      <x:c r="D297" s="2" t="n"/>
    </x:row>
    <x:row r="298" s="71" customFormat="1" ht="14.25" customHeight="1">
      <x:c r="A298" s="3" t="n"/>
      <x:c r="B298" s="3" t="n"/>
      <x:c r="D298" s="2" t="n"/>
    </x:row>
    <x:row r="299" s="71" customFormat="1" ht="14.25" customHeight="1">
      <x:c r="A299" s="3" t="n"/>
      <x:c r="B299" s="3" t="n"/>
      <x:c r="D299" s="2" t="n"/>
    </x:row>
    <x:row r="300" s="71" customFormat="1" ht="14.25" customHeight="1">
      <x:c r="A300" s="3" t="n"/>
      <x:c r="B300" s="3" t="n"/>
      <x:c r="D300" s="2" t="n"/>
    </x:row>
    <x:row r="301" s="71" customFormat="1" ht="14.25" customHeight="1">
      <x:c r="A301" s="3" t="n"/>
      <x:c r="B301" s="3" t="n"/>
      <x:c r="D301" s="2" t="n"/>
    </x:row>
    <x:row r="302" s="71" customFormat="1" ht="14.25" customHeight="1">
      <x:c r="A302" s="3" t="n"/>
      <x:c r="B302" s="3" t="n"/>
      <x:c r="D302" s="2" t="n"/>
    </x:row>
    <x:row r="303" s="71" customFormat="1" ht="14.25" customHeight="1">
      <x:c r="A303" s="3" t="n"/>
      <x:c r="B303" s="3" t="n"/>
      <x:c r="D303" s="2" t="n"/>
    </x:row>
    <x:row r="304" s="71" customFormat="1" ht="14.25" customHeight="1">
      <x:c r="A304" s="3" t="n"/>
      <x:c r="B304" s="3" t="n"/>
      <x:c r="D304" s="2" t="n"/>
    </x:row>
    <x:row r="305" s="71" customFormat="1" ht="14.25" customHeight="1">
      <x:c r="A305" s="3" t="n"/>
      <x:c r="B305" s="3" t="n"/>
      <x:c r="D305" s="2" t="n"/>
    </x:row>
    <x:row r="306" s="71" customFormat="1" ht="14.25" customHeight="1">
      <x:c r="A306" s="3" t="n"/>
      <x:c r="B306" s="3" t="n"/>
      <x:c r="D306" s="2" t="n"/>
    </x:row>
    <x:row r="307" s="71" customFormat="1" ht="14.25" customHeight="1">
      <x:c r="A307" s="3" t="n"/>
      <x:c r="B307" s="3" t="n"/>
      <x:c r="D307" s="2" t="n"/>
    </x:row>
    <x:row r="308" s="71" customFormat="1" ht="14.25" customHeight="1">
      <x:c r="A308" s="3" t="n"/>
      <x:c r="B308" s="3" t="n"/>
      <x:c r="D308" s="2" t="n"/>
    </x:row>
    <x:row r="309" s="71" customFormat="1" ht="14.25" customHeight="1">
      <x:c r="A309" s="3" t="n"/>
      <x:c r="B309" s="3" t="n"/>
      <x:c r="D309" s="2" t="n"/>
    </x:row>
    <x:row r="310" s="71" customFormat="1" ht="14.25" customHeight="1">
      <x:c r="A310" s="3" t="n"/>
      <x:c r="B310" s="3" t="n"/>
      <x:c r="D310" s="2" t="n"/>
    </x:row>
    <x:row r="311" s="71" customFormat="1" ht="14.25" customHeight="1">
      <x:c r="A311" s="3" t="n"/>
      <x:c r="B311" s="3" t="n"/>
      <x:c r="D311" s="2" t="n"/>
    </x:row>
    <x:row r="312" s="71" customFormat="1" ht="14.25" customHeight="1">
      <x:c r="A312" s="3" t="n"/>
      <x:c r="B312" s="3" t="n"/>
      <x:c r="D312" s="2" t="n"/>
    </x:row>
    <x:row r="313" s="71" customFormat="1" ht="14.25" customHeight="1">
      <x:c r="A313" s="3" t="n"/>
      <x:c r="B313" s="3" t="n"/>
      <x:c r="D313" s="2" t="n"/>
    </x:row>
    <x:row r="314" s="71" customFormat="1" ht="14.25" customHeight="1">
      <x:c r="A314" s="3" t="n"/>
      <x:c r="B314" s="3" t="n"/>
      <x:c r="D314" s="2" t="n"/>
    </x:row>
    <x:row r="315" s="71" customFormat="1" ht="14.25" customHeight="1">
      <x:c r="A315" s="3" t="n"/>
      <x:c r="B315" s="3" t="n"/>
      <x:c r="D315" s="2" t="n"/>
    </x:row>
    <x:row r="316" s="71" customFormat="1" ht="14.25" customHeight="1">
      <x:c r="A316" s="3" t="n"/>
      <x:c r="B316" s="3" t="n"/>
      <x:c r="D316" s="2" t="n"/>
    </x:row>
    <x:row r="317" s="71" customFormat="1" ht="14.25" customHeight="1">
      <x:c r="A317" s="3" t="n"/>
      <x:c r="B317" s="3" t="n"/>
      <x:c r="D317" s="2" t="n"/>
    </x:row>
    <x:row r="318" s="71" customFormat="1" ht="14.25" customHeight="1">
      <x:c r="A318" s="3" t="n"/>
      <x:c r="B318" s="3" t="n"/>
      <x:c r="D318" s="2" t="n"/>
    </x:row>
    <x:row r="319" s="71" customFormat="1" ht="14.25" customHeight="1">
      <x:c r="A319" s="3" t="n"/>
      <x:c r="B319" s="3" t="n"/>
      <x:c r="D319" s="2" t="n"/>
    </x:row>
    <x:row r="320" s="71" customFormat="1" ht="14.25" customHeight="1">
      <x:c r="A320" s="3" t="n"/>
      <x:c r="B320" s="3" t="n"/>
      <x:c r="D320" s="2" t="n"/>
    </x:row>
    <x:row r="321" s="71" customFormat="1" ht="14.25" customHeight="1">
      <x:c r="A321" s="3" t="n"/>
      <x:c r="B321" s="3" t="n"/>
      <x:c r="D321" s="2" t="n"/>
    </x:row>
    <x:row r="322" s="71" customFormat="1" ht="14.25" customHeight="1">
      <x:c r="A322" s="3" t="n"/>
      <x:c r="B322" s="3" t="n"/>
      <x:c r="D322" s="2" t="n"/>
    </x:row>
    <x:row r="323" s="71" customFormat="1" ht="14.25" customHeight="1">
      <x:c r="A323" s="3" t="n"/>
      <x:c r="B323" s="3" t="n"/>
      <x:c r="D323" s="2" t="n"/>
    </x:row>
    <x:row r="324" s="71" customFormat="1" ht="14.25" customHeight="1">
      <x:c r="A324" s="3" t="n"/>
      <x:c r="B324" s="3" t="n"/>
      <x:c r="D324" s="2" t="n"/>
    </x:row>
    <x:row r="325" s="71" customFormat="1" ht="14.25" customHeight="1">
      <x:c r="A325" s="3" t="n"/>
      <x:c r="B325" s="3" t="n"/>
      <x:c r="D325" s="2" t="n"/>
    </x:row>
    <x:row r="326" s="71" customFormat="1" ht="14.25" customHeight="1">
      <x:c r="A326" s="3" t="n"/>
      <x:c r="B326" s="3" t="n"/>
      <x:c r="D326" s="2" t="n"/>
    </x:row>
    <x:row r="327" s="71" customFormat="1" ht="14.25" customHeight="1">
      <x:c r="A327" s="3" t="n"/>
      <x:c r="B327" s="3" t="n"/>
      <x:c r="D327" s="2" t="n"/>
    </x:row>
    <x:row r="328" s="71" customFormat="1" ht="14.25" customHeight="1">
      <x:c r="A328" s="3" t="n"/>
      <x:c r="B328" s="3" t="n"/>
      <x:c r="D328" s="2" t="n"/>
    </x:row>
    <x:row r="329" s="71" customFormat="1" ht="14.25" customHeight="1">
      <x:c r="A329" s="3" t="n"/>
      <x:c r="B329" s="3" t="n"/>
      <x:c r="D329" s="2" t="n"/>
    </x:row>
    <x:row r="330" s="71" customFormat="1" ht="14.25" customHeight="1">
      <x:c r="A330" s="3" t="n"/>
      <x:c r="B330" s="3" t="n"/>
      <x:c r="D330" s="2" t="n"/>
    </x:row>
    <x:row r="331" s="71" customFormat="1" ht="14.25" customHeight="1">
      <x:c r="A331" s="3" t="n"/>
      <x:c r="B331" s="3" t="n"/>
      <x:c r="D331" s="2" t="n"/>
    </x:row>
    <x:row r="332" s="71" customFormat="1" ht="14.25" customHeight="1">
      <x:c r="A332" s="3" t="n"/>
      <x:c r="B332" s="3" t="n"/>
      <x:c r="D332" s="2" t="n"/>
    </x:row>
    <x:row r="333" s="71" customFormat="1" ht="14.25" customHeight="1">
      <x:c r="A333" s="3" t="n"/>
      <x:c r="B333" s="3" t="n"/>
      <x:c r="D333" s="2" t="n"/>
    </x:row>
    <x:row r="334" s="71" customFormat="1" ht="14.25" customHeight="1">
      <x:c r="A334" s="3" t="n"/>
      <x:c r="B334" s="3" t="n"/>
      <x:c r="D334" s="2" t="n"/>
    </x:row>
    <x:row r="335" s="71" customFormat="1" ht="14.25" customHeight="1">
      <x:c r="A335" s="3" t="n"/>
      <x:c r="B335" s="3" t="n"/>
      <x:c r="D335" s="2" t="n"/>
    </x:row>
    <x:row r="336" s="71" customFormat="1" ht="14.25" customHeight="1">
      <x:c r="A336" s="3" t="n"/>
      <x:c r="B336" s="3" t="n"/>
      <x:c r="D336" s="2" t="n"/>
    </x:row>
    <x:row r="337" s="71" customFormat="1" ht="14.25" customHeight="1">
      <x:c r="A337" s="3" t="n"/>
      <x:c r="B337" s="3" t="n"/>
      <x:c r="D337" s="2" t="n"/>
    </x:row>
    <x:row r="338" s="71" customFormat="1" ht="14.25" customHeight="1">
      <x:c r="A338" s="3" t="n"/>
      <x:c r="B338" s="3" t="n"/>
      <x:c r="D338" s="2" t="n"/>
    </x:row>
    <x:row r="339" s="71" customFormat="1" ht="14.25" customHeight="1">
      <x:c r="A339" s="3" t="n"/>
      <x:c r="B339" s="3" t="n"/>
      <x:c r="D339" s="2" t="n"/>
    </x:row>
    <x:row r="340" s="71" customFormat="1" ht="14.25" customHeight="1">
      <x:c r="A340" s="3" t="n"/>
      <x:c r="B340" s="3" t="n"/>
      <x:c r="D340" s="2" t="n"/>
    </x:row>
    <x:row r="341" s="71" customFormat="1" ht="14.25" customHeight="1">
      <x:c r="A341" s="3" t="n"/>
      <x:c r="B341" s="3" t="n"/>
      <x:c r="D341" s="2" t="n"/>
    </x:row>
    <x:row r="342" s="71" customFormat="1" ht="14.25" customHeight="1">
      <x:c r="A342" s="3" t="n"/>
      <x:c r="B342" s="3" t="n"/>
      <x:c r="D342" s="2" t="n"/>
    </x:row>
    <x:row r="343" s="71" customFormat="1" ht="14.25" customHeight="1">
      <x:c r="A343" s="3" t="n"/>
      <x:c r="B343" s="3" t="n"/>
      <x:c r="D343" s="2" t="n"/>
    </x:row>
    <x:row r="344" s="71" customFormat="1" ht="14.25" customHeight="1">
      <x:c r="A344" s="3" t="n"/>
      <x:c r="B344" s="3" t="n"/>
      <x:c r="D344" s="2" t="n"/>
    </x:row>
    <x:row r="345" s="71" customFormat="1" ht="14.25" customHeight="1">
      <x:c r="A345" s="3" t="n"/>
      <x:c r="B345" s="3" t="n"/>
      <x:c r="D345" s="2" t="n"/>
    </x:row>
    <x:row r="346" s="71" customFormat="1" ht="14.25" customHeight="1">
      <x:c r="A346" s="3" t="n"/>
      <x:c r="B346" s="3" t="n"/>
      <x:c r="D346" s="2" t="n"/>
    </x:row>
    <x:row r="347" s="71" customFormat="1" ht="14.25" customHeight="1">
      <x:c r="A347" s="3" t="n"/>
      <x:c r="B347" s="3" t="n"/>
      <x:c r="D347" s="2" t="n"/>
    </x:row>
    <x:row r="348" s="71" customFormat="1" ht="14.25" customHeight="1">
      <x:c r="A348" s="3" t="n"/>
      <x:c r="B348" s="3" t="n"/>
      <x:c r="D348" s="2" t="n"/>
    </x:row>
    <x:row r="349" s="71" customFormat="1" ht="14.25" customHeight="1">
      <x:c r="A349" s="3" t="n"/>
      <x:c r="B349" s="3" t="n"/>
      <x:c r="D349" s="2" t="n"/>
    </x:row>
    <x:row r="350" s="71" customFormat="1" ht="14.25" customHeight="1">
      <x:c r="A350" s="3" t="n"/>
      <x:c r="B350" s="3" t="n"/>
      <x:c r="D350" s="2" t="n"/>
    </x:row>
    <x:row r="351" s="71" customFormat="1" ht="14.25" customHeight="1">
      <x:c r="A351" s="3" t="n"/>
      <x:c r="B351" s="3" t="n"/>
      <x:c r="D351" s="2" t="n"/>
    </x:row>
    <x:row r="352" s="71" customFormat="1" ht="14.25" customHeight="1">
      <x:c r="A352" s="3" t="n"/>
      <x:c r="B352" s="3" t="n"/>
      <x:c r="D352" s="2" t="n"/>
    </x:row>
    <x:row r="353" s="71" customFormat="1" ht="14.25" customHeight="1">
      <x:c r="A353" s="3" t="n"/>
      <x:c r="B353" s="3" t="n"/>
      <x:c r="D353" s="2" t="n"/>
    </x:row>
    <x:row r="354" s="71" customFormat="1" ht="14.25" customHeight="1">
      <x:c r="A354" s="3" t="n"/>
      <x:c r="B354" s="3" t="n"/>
      <x:c r="D354" s="2" t="n"/>
    </x:row>
    <x:row r="355" s="71" customFormat="1" ht="14.25" customHeight="1">
      <x:c r="A355" s="3" t="n"/>
      <x:c r="B355" s="3" t="n"/>
      <x:c r="D355" s="2" t="n"/>
    </x:row>
    <x:row r="356" s="71" customFormat="1" ht="14.25" customHeight="1">
      <x:c r="A356" s="3" t="n"/>
      <x:c r="B356" s="3" t="n"/>
      <x:c r="D356" s="2" t="n"/>
    </x:row>
    <x:row r="357" s="71" customFormat="1" ht="14.25" customHeight="1">
      <x:c r="A357" s="3" t="n"/>
      <x:c r="B357" s="3" t="n"/>
      <x:c r="D357" s="2" t="n"/>
    </x:row>
    <x:row r="358" s="71" customFormat="1" ht="14.25" customHeight="1">
      <x:c r="A358" s="3" t="n"/>
      <x:c r="B358" s="3" t="n"/>
      <x:c r="D358" s="2" t="n"/>
    </x:row>
    <x:row r="359" s="71" customFormat="1" ht="14.25" customHeight="1">
      <x:c r="A359" s="3" t="n"/>
      <x:c r="B359" s="3" t="n"/>
      <x:c r="D359" s="2" t="n"/>
    </x:row>
    <x:row r="360" s="71" customFormat="1" ht="14.25" customHeight="1">
      <x:c r="A360" s="3" t="n"/>
      <x:c r="B360" s="3" t="n"/>
      <x:c r="D360" s="2" t="n"/>
    </x:row>
    <x:row r="361" s="71" customFormat="1" ht="14.25" customHeight="1">
      <x:c r="A361" s="3" t="n"/>
      <x:c r="B361" s="3" t="n"/>
      <x:c r="D361" s="2" t="n"/>
    </x:row>
    <x:row r="362" s="71" customFormat="1" ht="14.25" customHeight="1">
      <x:c r="A362" s="3" t="n"/>
      <x:c r="B362" s="3" t="n"/>
      <x:c r="D362" s="2" t="n"/>
    </x:row>
    <x:row r="363" s="71" customFormat="1" ht="14.25" customHeight="1">
      <x:c r="A363" s="3" t="n"/>
      <x:c r="B363" s="3" t="n"/>
      <x:c r="D363" s="2" t="n"/>
    </x:row>
    <x:row r="364" s="71" customFormat="1" ht="14.25" customHeight="1">
      <x:c r="A364" s="3" t="n"/>
      <x:c r="B364" s="3" t="n"/>
      <x:c r="D364" s="2" t="n"/>
    </x:row>
    <x:row r="365" s="71" customFormat="1" ht="14.25" customHeight="1">
      <x:c r="A365" s="3" t="n"/>
      <x:c r="B365" s="3" t="n"/>
      <x:c r="D365" s="2" t="n"/>
    </x:row>
    <x:row r="366" s="71" customFormat="1" ht="14.25" customHeight="1">
      <x:c r="A366" s="3" t="n"/>
      <x:c r="B366" s="3" t="n"/>
      <x:c r="D366" s="2" t="n"/>
    </x:row>
    <x:row r="367" s="71" customFormat="1" ht="14.25" customHeight="1">
      <x:c r="A367" s="3" t="n"/>
      <x:c r="B367" s="3" t="n"/>
      <x:c r="D367" s="2" t="n"/>
    </x:row>
    <x:row r="368" s="71" customFormat="1" ht="14.25" customHeight="1">
      <x:c r="A368" s="3" t="n"/>
      <x:c r="B368" s="3" t="n"/>
      <x:c r="D368" s="2" t="n"/>
    </x:row>
    <x:row r="369" s="71" customFormat="1" ht="14.25" customHeight="1">
      <x:c r="A369" s="3" t="n"/>
      <x:c r="B369" s="3" t="n"/>
      <x:c r="D369" s="2" t="n"/>
    </x:row>
    <x:row r="370" s="71" customFormat="1" ht="14.25" customHeight="1">
      <x:c r="A370" s="3" t="n"/>
      <x:c r="B370" s="3" t="n"/>
      <x:c r="D370" s="2" t="n"/>
    </x:row>
    <x:row r="371" s="71" customFormat="1" ht="14.25" customHeight="1">
      <x:c r="A371" s="3" t="n"/>
      <x:c r="B371" s="3" t="n"/>
      <x:c r="D371" s="2" t="n"/>
    </x:row>
    <x:row r="372" s="71" customFormat="1" ht="14.25" customHeight="1">
      <x:c r="A372" s="3" t="n"/>
      <x:c r="B372" s="3" t="n"/>
      <x:c r="D372" s="2" t="n"/>
    </x:row>
    <x:row r="373" s="71" customFormat="1" ht="14.25" customHeight="1">
      <x:c r="A373" s="3" t="n"/>
      <x:c r="B373" s="3" t="n"/>
      <x:c r="D373" s="2" t="n"/>
    </x:row>
    <x:row r="374" s="71" customFormat="1" ht="14.25" customHeight="1">
      <x:c r="A374" s="3" t="n"/>
      <x:c r="B374" s="3" t="n"/>
      <x:c r="D374" s="2" t="n"/>
    </x:row>
    <x:row r="375" s="71" customFormat="1" ht="14.25" customHeight="1">
      <x:c r="A375" s="3" t="n"/>
      <x:c r="B375" s="3" t="n"/>
      <x:c r="D375" s="2" t="n"/>
    </x:row>
    <x:row r="376" s="71" customFormat="1" ht="14.25" customHeight="1">
      <x:c r="A376" s="3" t="n"/>
      <x:c r="B376" s="3" t="n"/>
      <x:c r="D376" s="2" t="n"/>
    </x:row>
    <x:row r="377" s="71" customFormat="1" ht="14.25" customHeight="1">
      <x:c r="A377" s="3" t="n"/>
      <x:c r="B377" s="3" t="n"/>
      <x:c r="D377" s="2" t="n"/>
    </x:row>
    <x:row r="378" s="71" customFormat="1" ht="14.25" customHeight="1">
      <x:c r="A378" s="3" t="n"/>
      <x:c r="B378" s="3" t="n"/>
      <x:c r="D378" s="2" t="n"/>
    </x:row>
    <x:row r="379" s="71" customFormat="1" ht="14.25" customHeight="1">
      <x:c r="A379" s="3" t="n"/>
      <x:c r="B379" s="3" t="n"/>
      <x:c r="D379" s="2" t="n"/>
    </x:row>
    <x:row r="380" s="71" customFormat="1" ht="14.25" customHeight="1">
      <x:c r="A380" s="3" t="n"/>
      <x:c r="B380" s="3" t="n"/>
      <x:c r="D380" s="2" t="n"/>
    </x:row>
    <x:row r="381" s="71" customFormat="1" ht="14.25" customHeight="1">
      <x:c r="A381" s="3" t="n"/>
      <x:c r="B381" s="3" t="n"/>
      <x:c r="D381" s="2" t="n"/>
    </x:row>
    <x:row r="382" s="71" customFormat="1" ht="14.25" customHeight="1">
      <x:c r="A382" s="3" t="n"/>
      <x:c r="B382" s="3" t="n"/>
      <x:c r="D382" s="2" t="n"/>
    </x:row>
    <x:row r="383" s="71" customFormat="1" ht="14.25" customHeight="1">
      <x:c r="A383" s="3" t="n"/>
      <x:c r="B383" s="3" t="n"/>
      <x:c r="D383" s="2" t="n"/>
    </x:row>
    <x:row r="384" s="71" customFormat="1" ht="14.25" customHeight="1">
      <x:c r="A384" s="3" t="n"/>
      <x:c r="B384" s="3" t="n"/>
      <x:c r="D384" s="2" t="n"/>
    </x:row>
    <x:row r="385" s="71" customFormat="1" ht="14.25" customHeight="1">
      <x:c r="A385" s="3" t="n"/>
      <x:c r="B385" s="3" t="n"/>
      <x:c r="D385" s="2" t="n"/>
    </x:row>
    <x:row r="386" s="71" customFormat="1" ht="14.25" customHeight="1">
      <x:c r="A386" s="3" t="n"/>
      <x:c r="B386" s="3" t="n"/>
      <x:c r="D386" s="2" t="n"/>
    </x:row>
    <x:row r="387" s="71" customFormat="1" ht="14.25" customHeight="1">
      <x:c r="A387" s="3" t="n"/>
      <x:c r="B387" s="3" t="n"/>
      <x:c r="D387" s="2" t="n"/>
    </x:row>
    <x:row r="388" s="71" customFormat="1" ht="14.25" customHeight="1">
      <x:c r="A388" s="3" t="n"/>
      <x:c r="B388" s="3" t="n"/>
      <x:c r="D388" s="2" t="n"/>
    </x:row>
    <x:row r="389" s="71" customFormat="1" ht="14.25" customHeight="1">
      <x:c r="A389" s="3" t="n"/>
      <x:c r="B389" s="3" t="n"/>
      <x:c r="D389" s="2" t="n"/>
    </x:row>
    <x:row r="390" s="71" customFormat="1" ht="14.25" customHeight="1">
      <x:c r="A390" s="3" t="n"/>
      <x:c r="B390" s="3" t="n"/>
      <x:c r="D390" s="2" t="n"/>
    </x:row>
    <x:row r="391" s="71" customFormat="1" ht="14.25" customHeight="1">
      <x:c r="A391" s="3" t="n"/>
      <x:c r="B391" s="3" t="n"/>
      <x:c r="D391" s="2" t="n"/>
    </x:row>
    <x:row r="392" s="71" customFormat="1" ht="14.25" customHeight="1">
      <x:c r="A392" s="3" t="n"/>
      <x:c r="B392" s="3" t="n"/>
      <x:c r="D392" s="2" t="n"/>
    </x:row>
    <x:row r="393" s="71" customFormat="1" ht="14.25" customHeight="1">
      <x:c r="A393" s="3" t="n"/>
      <x:c r="B393" s="3" t="n"/>
      <x:c r="D393" s="2" t="n"/>
    </x:row>
    <x:row r="394" s="71" customFormat="1" ht="14.25" customHeight="1">
      <x:c r="A394" s="3" t="n"/>
      <x:c r="B394" s="3" t="n"/>
      <x:c r="D394" s="2" t="n"/>
    </x:row>
    <x:row r="395" s="71" customFormat="1" ht="14.25" customHeight="1">
      <x:c r="A395" s="3" t="n"/>
      <x:c r="B395" s="3" t="n"/>
      <x:c r="D395" s="2" t="n"/>
    </x:row>
    <x:row r="396" s="71" customFormat="1" ht="14.25" customHeight="1">
      <x:c r="A396" s="3" t="n"/>
      <x:c r="B396" s="3" t="n"/>
      <x:c r="D396" s="2" t="n"/>
    </x:row>
    <x:row r="397" s="71" customFormat="1" ht="14.25" customHeight="1">
      <x:c r="A397" s="3" t="n"/>
      <x:c r="B397" s="3" t="n"/>
      <x:c r="D397" s="2" t="n"/>
    </x:row>
    <x:row r="398" s="71" customFormat="1" ht="14.25" customHeight="1">
      <x:c r="A398" s="3" t="n"/>
      <x:c r="B398" s="3" t="n"/>
      <x:c r="D398" s="2" t="n"/>
    </x:row>
    <x:row r="399" s="71" customFormat="1" ht="14.25" customHeight="1">
      <x:c r="A399" s="3" t="n"/>
      <x:c r="B399" s="3" t="n"/>
      <x:c r="D399" s="2" t="n"/>
    </x:row>
    <x:row r="400" s="71" customFormat="1" ht="14.25" customHeight="1">
      <x:c r="A400" s="3" t="n"/>
      <x:c r="B400" s="3" t="n"/>
      <x:c r="D400" s="2" t="n"/>
    </x:row>
    <x:row r="401" s="71" customFormat="1" ht="14.25" customHeight="1">
      <x:c r="A401" s="3" t="n"/>
      <x:c r="B401" s="3" t="n"/>
      <x:c r="D401" s="2" t="n"/>
    </x:row>
    <x:row r="402" s="71" customFormat="1" ht="14.25" customHeight="1">
      <x:c r="A402" s="3" t="n"/>
      <x:c r="B402" s="3" t="n"/>
      <x:c r="D402" s="2" t="n"/>
    </x:row>
    <x:row r="403" s="71" customFormat="1" ht="14.25" customHeight="1">
      <x:c r="A403" s="3" t="n"/>
      <x:c r="B403" s="3" t="n"/>
      <x:c r="D403" s="2" t="n"/>
    </x:row>
    <x:row r="404" s="71" customFormat="1" ht="14.25" customHeight="1">
      <x:c r="A404" s="3" t="n"/>
      <x:c r="B404" s="3" t="n"/>
      <x:c r="D404" s="2" t="n"/>
    </x:row>
    <x:row r="405" s="71" customFormat="1" ht="14.25" customHeight="1">
      <x:c r="A405" s="3" t="n"/>
      <x:c r="B405" s="3" t="n"/>
      <x:c r="D405" s="2" t="n"/>
    </x:row>
    <x:row r="406" s="71" customFormat="1" ht="14.25" customHeight="1">
      <x:c r="A406" s="3" t="n"/>
      <x:c r="B406" s="3" t="n"/>
      <x:c r="D406" s="2" t="n"/>
    </x:row>
    <x:row r="407" s="71" customFormat="1" ht="14.25" customHeight="1">
      <x:c r="A407" s="3" t="n"/>
      <x:c r="B407" s="3" t="n"/>
      <x:c r="D407" s="2" t="n"/>
    </x:row>
    <x:row r="408" s="71" customFormat="1" ht="14.25" customHeight="1">
      <x:c r="A408" s="3" t="n"/>
      <x:c r="B408" s="3" t="n"/>
      <x:c r="D408" s="2" t="n"/>
    </x:row>
    <x:row r="409" s="71" customFormat="1" ht="14.25" customHeight="1">
      <x:c r="A409" s="3" t="n"/>
      <x:c r="B409" s="3" t="n"/>
      <x:c r="D409" s="2" t="n"/>
    </x:row>
    <x:row r="410" s="71" customFormat="1" ht="14.25" customHeight="1">
      <x:c r="A410" s="3" t="n"/>
      <x:c r="B410" s="3" t="n"/>
      <x:c r="D410" s="2" t="n"/>
    </x:row>
    <x:row r="411" s="71" customFormat="1" ht="14.25" customHeight="1">
      <x:c r="A411" s="3" t="n"/>
      <x:c r="B411" s="3" t="n"/>
      <x:c r="D411" s="2" t="n"/>
    </x:row>
    <x:row r="412" s="71" customFormat="1" ht="14.25" customHeight="1">
      <x:c r="A412" s="3" t="n"/>
      <x:c r="B412" s="3" t="n"/>
      <x:c r="D412" s="2" t="n"/>
    </x:row>
    <x:row r="413" s="71" customFormat="1" ht="14.25" customHeight="1">
      <x:c r="A413" s="3" t="n"/>
      <x:c r="B413" s="3" t="n"/>
      <x:c r="D413" s="2" t="n"/>
    </x:row>
    <x:row r="414" s="71" customFormat="1" ht="14.25" customHeight="1">
      <x:c r="A414" s="3" t="n"/>
      <x:c r="B414" s="3" t="n"/>
      <x:c r="D414" s="2" t="n"/>
    </x:row>
    <x:row r="415" s="71" customFormat="1" ht="14.25" customHeight="1">
      <x:c r="A415" s="3" t="n"/>
      <x:c r="B415" s="3" t="n"/>
      <x:c r="D415" s="2" t="n"/>
    </x:row>
    <x:row r="416" s="71" customFormat="1" ht="14.25" customHeight="1">
      <x:c r="A416" s="3" t="n"/>
      <x:c r="B416" s="3" t="n"/>
      <x:c r="D416" s="2" t="n"/>
    </x:row>
    <x:row r="417" s="71" customFormat="1" ht="14.25" customHeight="1">
      <x:c r="A417" s="3" t="n"/>
      <x:c r="B417" s="3" t="n"/>
      <x:c r="D417" s="2" t="n"/>
    </x:row>
    <x:row r="418" s="71" customFormat="1" ht="14.25" customHeight="1">
      <x:c r="A418" s="3" t="n"/>
      <x:c r="B418" s="3" t="n"/>
      <x:c r="D418" s="2" t="n"/>
    </x:row>
    <x:row r="419" s="71" customFormat="1" ht="14.25" customHeight="1">
      <x:c r="A419" s="3" t="n"/>
      <x:c r="B419" s="3" t="n"/>
      <x:c r="D419" s="2" t="n"/>
    </x:row>
    <x:row r="420" s="71" customFormat="1" ht="14.25" customHeight="1">
      <x:c r="A420" s="3" t="n"/>
      <x:c r="B420" s="3" t="n"/>
      <x:c r="D420" s="2" t="n"/>
    </x:row>
    <x:row r="421" s="71" customFormat="1" ht="14.25" customHeight="1">
      <x:c r="A421" s="3" t="n"/>
      <x:c r="B421" s="3" t="n"/>
      <x:c r="D421" s="2" t="n"/>
    </x:row>
    <x:row r="422" s="71" customFormat="1" ht="14.25" customHeight="1">
      <x:c r="A422" s="3" t="n"/>
      <x:c r="B422" s="3" t="n"/>
      <x:c r="D422" s="2" t="n"/>
    </x:row>
    <x:row r="423" s="71" customFormat="1" ht="14.25" customHeight="1">
      <x:c r="A423" s="3" t="n"/>
      <x:c r="B423" s="3" t="n"/>
      <x:c r="D423" s="2" t="n"/>
    </x:row>
    <x:row r="424" s="71" customFormat="1" ht="14.25" customHeight="1">
      <x:c r="A424" s="3" t="n"/>
      <x:c r="B424" s="3" t="n"/>
      <x:c r="D424" s="2" t="n"/>
    </x:row>
    <x:row r="425" s="71" customFormat="1" ht="14.25" customHeight="1">
      <x:c r="A425" s="3" t="n"/>
      <x:c r="B425" s="3" t="n"/>
      <x:c r="D425" s="2" t="n"/>
    </x:row>
    <x:row r="426" s="71" customFormat="1" ht="14.25" customHeight="1">
      <x:c r="A426" s="3" t="n"/>
      <x:c r="B426" s="3" t="n"/>
      <x:c r="D426" s="2" t="n"/>
    </x:row>
    <x:row r="427" s="71" customFormat="1" ht="14.25" customHeight="1">
      <x:c r="A427" s="3" t="n"/>
      <x:c r="B427" s="3" t="n"/>
      <x:c r="D427" s="2" t="n"/>
    </x:row>
    <x:row r="428" s="71" customFormat="1" ht="14.25" customHeight="1">
      <x:c r="A428" s="3" t="n"/>
      <x:c r="B428" s="3" t="n"/>
      <x:c r="D428" s="2" t="n"/>
    </x:row>
    <x:row r="429" s="71" customFormat="1" ht="14.25" customHeight="1">
      <x:c r="A429" s="3" t="n"/>
      <x:c r="B429" s="3" t="n"/>
      <x:c r="D429" s="2" t="n"/>
    </x:row>
    <x:row r="430" s="71" customFormat="1" ht="14.25" customHeight="1">
      <x:c r="A430" s="3" t="n"/>
      <x:c r="B430" s="3" t="n"/>
      <x:c r="D430" s="2" t="n"/>
    </x:row>
    <x:row r="431" s="71" customFormat="1" ht="14.25" customHeight="1">
      <x:c r="A431" s="3" t="n"/>
      <x:c r="B431" s="3" t="n"/>
      <x:c r="D431" s="2" t="n"/>
    </x:row>
    <x:row r="432" s="71" customFormat="1" ht="14.25" customHeight="1">
      <x:c r="A432" s="3" t="n"/>
      <x:c r="B432" s="3" t="n"/>
      <x:c r="D432" s="2" t="n"/>
    </x:row>
    <x:row r="433" s="71" customFormat="1" ht="14.25" customHeight="1">
      <x:c r="A433" s="3" t="n"/>
      <x:c r="B433" s="3" t="n"/>
      <x:c r="D433" s="2" t="n"/>
    </x:row>
    <x:row r="434" s="71" customFormat="1" ht="14.25" customHeight="1">
      <x:c r="A434" s="3" t="n"/>
      <x:c r="B434" s="3" t="n"/>
      <x:c r="D434" s="2" t="n"/>
    </x:row>
    <x:row r="435" s="71" customFormat="1" ht="14.25" customHeight="1">
      <x:c r="A435" s="3" t="n"/>
      <x:c r="B435" s="3" t="n"/>
      <x:c r="D435" s="2" t="n"/>
    </x:row>
    <x:row r="436" s="71" customFormat="1" ht="14.25" customHeight="1">
      <x:c r="A436" s="3" t="n"/>
      <x:c r="B436" s="3" t="n"/>
      <x:c r="D436" s="2" t="n"/>
    </x:row>
    <x:row r="437" s="71" customFormat="1" ht="14.25" customHeight="1">
      <x:c r="A437" s="3" t="n"/>
      <x:c r="B437" s="3" t="n"/>
      <x:c r="D437" s="2" t="n"/>
    </x:row>
    <x:row r="438" s="71" customFormat="1" ht="14.25" customHeight="1">
      <x:c r="A438" s="3" t="n"/>
      <x:c r="B438" s="3" t="n"/>
      <x:c r="D438" s="2" t="n"/>
    </x:row>
    <x:row r="439" s="71" customFormat="1" ht="14.25" customHeight="1">
      <x:c r="A439" s="3" t="n"/>
      <x:c r="B439" s="3" t="n"/>
      <x:c r="D439" s="2" t="n"/>
    </x:row>
    <x:row r="440" s="71" customFormat="1" ht="14.25" customHeight="1">
      <x:c r="A440" s="3" t="n"/>
      <x:c r="B440" s="3" t="n"/>
      <x:c r="D440" s="2" t="n"/>
    </x:row>
    <x:row r="441" s="71" customFormat="1" ht="14.25" customHeight="1">
      <x:c r="A441" s="3" t="n"/>
      <x:c r="B441" s="3" t="n"/>
      <x:c r="D441" s="2" t="n"/>
    </x:row>
    <x:row r="442" s="71" customFormat="1" ht="14.25" customHeight="1">
      <x:c r="A442" s="3" t="n"/>
      <x:c r="B442" s="3" t="n"/>
      <x:c r="D442" s="2" t="n"/>
    </x:row>
    <x:row r="443" s="71" customFormat="1" ht="14.25" customHeight="1">
      <x:c r="A443" s="3" t="n"/>
      <x:c r="B443" s="3" t="n"/>
      <x:c r="D443" s="2" t="n"/>
    </x:row>
    <x:row r="444" s="71" customFormat="1" ht="14.25" customHeight="1">
      <x:c r="A444" s="3" t="n"/>
      <x:c r="B444" s="3" t="n"/>
      <x:c r="D444" s="2" t="n"/>
    </x:row>
    <x:row r="445" s="71" customFormat="1" ht="14.25" customHeight="1">
      <x:c r="A445" s="3" t="n"/>
      <x:c r="B445" s="3" t="n"/>
      <x:c r="D445" s="2" t="n"/>
    </x:row>
    <x:row r="446" s="71" customFormat="1" ht="14.25" customHeight="1">
      <x:c r="A446" s="3" t="n"/>
      <x:c r="B446" s="3" t="n"/>
      <x:c r="D446" s="2" t="n"/>
    </x:row>
    <x:row r="447" s="71" customFormat="1" ht="14.25" customHeight="1">
      <x:c r="A447" s="3" t="n"/>
      <x:c r="B447" s="3" t="n"/>
      <x:c r="D447" s="2" t="n"/>
    </x:row>
    <x:row r="448" s="71" customFormat="1" ht="14.25" customHeight="1">
      <x:c r="A448" s="3" t="n"/>
      <x:c r="B448" s="3" t="n"/>
      <x:c r="D448" s="2" t="n"/>
    </x:row>
    <x:row r="449" s="71" customFormat="1" ht="14.25" customHeight="1">
      <x:c r="A449" s="3" t="n"/>
      <x:c r="B449" s="3" t="n"/>
      <x:c r="D449" s="2" t="n"/>
    </x:row>
    <x:row r="450" s="71" customFormat="1" ht="14.25" customHeight="1">
      <x:c r="A450" s="3" t="n"/>
      <x:c r="B450" s="3" t="n"/>
      <x:c r="D450" s="2" t="n"/>
    </x:row>
    <x:row r="451" s="71" customFormat="1" ht="14.25" customHeight="1">
      <x:c r="A451" s="3" t="n"/>
      <x:c r="B451" s="3" t="n"/>
      <x:c r="D451" s="2" t="n"/>
    </x:row>
    <x:row r="452" s="71" customFormat="1" ht="14.25" customHeight="1">
      <x:c r="A452" s="3" t="n"/>
      <x:c r="B452" s="3" t="n"/>
      <x:c r="D452" s="2" t="n"/>
    </x:row>
    <x:row r="453" s="71" customFormat="1" ht="14.25" customHeight="1">
      <x:c r="A453" s="3" t="n"/>
      <x:c r="B453" s="3" t="n"/>
      <x:c r="D453" s="2" t="n"/>
    </x:row>
    <x:row r="454" s="71" customFormat="1" ht="14.25" customHeight="1">
      <x:c r="A454" s="3" t="n"/>
      <x:c r="B454" s="3" t="n"/>
      <x:c r="D454" s="2" t="n"/>
    </x:row>
    <x:row r="455" s="71" customFormat="1" ht="14.25" customHeight="1">
      <x:c r="A455" s="3" t="n"/>
      <x:c r="B455" s="3" t="n"/>
      <x:c r="D455" s="2" t="n"/>
    </x:row>
    <x:row r="456" s="71" customFormat="1" ht="14.25" customHeight="1">
      <x:c r="A456" s="3" t="n"/>
      <x:c r="B456" s="3" t="n"/>
      <x:c r="D456" s="2" t="n"/>
    </x:row>
    <x:row r="457" s="71" customFormat="1" ht="14.25" customHeight="1">
      <x:c r="A457" s="3" t="n"/>
      <x:c r="B457" s="3" t="n"/>
      <x:c r="D457" s="2" t="n"/>
    </x:row>
    <x:row r="458" s="71" customFormat="1" ht="14.25" customHeight="1">
      <x:c r="A458" s="3" t="n"/>
      <x:c r="B458" s="3" t="n"/>
      <x:c r="D458" s="2" t="n"/>
    </x:row>
    <x:row r="459" s="71" customFormat="1" ht="14.25" customHeight="1">
      <x:c r="A459" s="3" t="n"/>
      <x:c r="B459" s="3" t="n"/>
      <x:c r="D459" s="2" t="n"/>
    </x:row>
    <x:row r="460" s="71" customFormat="1" ht="14.25" customHeight="1">
      <x:c r="A460" s="3" t="n"/>
      <x:c r="B460" s="3" t="n"/>
      <x:c r="D460" s="2" t="n"/>
    </x:row>
    <x:row r="461" s="71" customFormat="1" ht="14.25" customHeight="1">
      <x:c r="A461" s="3" t="n"/>
      <x:c r="B461" s="3" t="n"/>
      <x:c r="D461" s="2" t="n"/>
    </x:row>
    <x:row r="462" s="71" customFormat="1" ht="14.25" customHeight="1">
      <x:c r="A462" s="3" t="n"/>
      <x:c r="B462" s="3" t="n"/>
      <x:c r="D462" s="2" t="n"/>
    </x:row>
    <x:row r="463" s="71" customFormat="1" ht="14.25" customHeight="1">
      <x:c r="A463" s="3" t="n"/>
      <x:c r="B463" s="3" t="n"/>
      <x:c r="D463" s="2" t="n"/>
    </x:row>
    <x:row r="464" s="71" customFormat="1" ht="14.25" customHeight="1">
      <x:c r="A464" s="3" t="n"/>
      <x:c r="B464" s="3" t="n"/>
      <x:c r="D464" s="2" t="n"/>
    </x:row>
    <x:row r="465" s="71" customFormat="1" ht="14.25" customHeight="1">
      <x:c r="A465" s="3" t="n"/>
      <x:c r="B465" s="3" t="n"/>
      <x:c r="D465" s="2" t="n"/>
    </x:row>
    <x:row r="466" s="71" customFormat="1" ht="14.25" customHeight="1">
      <x:c r="A466" s="3" t="n"/>
      <x:c r="B466" s="3" t="n"/>
      <x:c r="D466" s="2" t="n"/>
    </x:row>
    <x:row r="467" s="71" customFormat="1" ht="14.25" customHeight="1">
      <x:c r="A467" s="3" t="n"/>
      <x:c r="B467" s="3" t="n"/>
      <x:c r="D467" s="2" t="n"/>
    </x:row>
    <x:row r="468" s="71" customFormat="1" ht="14.25" customHeight="1">
      <x:c r="A468" s="3" t="n"/>
      <x:c r="B468" s="3" t="n"/>
      <x:c r="D468" s="2" t="n"/>
    </x:row>
    <x:row r="469" s="71" customFormat="1" ht="14.25" customHeight="1">
      <x:c r="A469" s="3" t="n"/>
      <x:c r="B469" s="3" t="n"/>
      <x:c r="D469" s="2" t="n"/>
    </x:row>
    <x:row r="470" s="71" customFormat="1" ht="14.25" customHeight="1">
      <x:c r="A470" s="3" t="n"/>
      <x:c r="B470" s="3" t="n"/>
      <x:c r="D470" s="2" t="n"/>
    </x:row>
    <x:row r="471" s="71" customFormat="1" ht="14.25" customHeight="1">
      <x:c r="A471" s="3" t="n"/>
      <x:c r="B471" s="3" t="n"/>
      <x:c r="D471" s="2" t="n"/>
    </x:row>
    <x:row r="472" s="71" customFormat="1" ht="14.25" customHeight="1">
      <x:c r="A472" s="3" t="n"/>
      <x:c r="B472" s="3" t="n"/>
      <x:c r="D472" s="2" t="n"/>
    </x:row>
    <x:row r="473" s="71" customFormat="1" ht="14.25" customHeight="1">
      <x:c r="A473" s="3" t="n"/>
      <x:c r="B473" s="3" t="n"/>
      <x:c r="D473" s="2" t="n"/>
    </x:row>
    <x:row r="474" s="71" customFormat="1" ht="14.25" customHeight="1">
      <x:c r="A474" s="3" t="n"/>
      <x:c r="B474" s="3" t="n"/>
      <x:c r="D474" s="2" t="n"/>
    </x:row>
    <x:row r="475" s="71" customFormat="1" ht="14.25" customHeight="1">
      <x:c r="A475" s="3" t="n"/>
      <x:c r="B475" s="3" t="n"/>
      <x:c r="D475" s="2" t="n"/>
    </x:row>
    <x:row r="476" s="71" customFormat="1" ht="14.25" customHeight="1">
      <x:c r="A476" s="3" t="n"/>
      <x:c r="B476" s="3" t="n"/>
      <x:c r="D476" s="2" t="n"/>
    </x:row>
    <x:row r="477" s="71" customFormat="1" ht="14.25" customHeight="1">
      <x:c r="A477" s="3" t="n"/>
      <x:c r="B477" s="3" t="n"/>
      <x:c r="D477" s="2" t="n"/>
    </x:row>
    <x:row r="478" s="71" customFormat="1" ht="14.25" customHeight="1">
      <x:c r="A478" s="3" t="n"/>
      <x:c r="B478" s="3" t="n"/>
      <x:c r="D478" s="2" t="n"/>
    </x:row>
    <x:row r="479" s="71" customFormat="1" ht="14.25" customHeight="1">
      <x:c r="A479" s="3" t="n"/>
      <x:c r="B479" s="3" t="n"/>
      <x:c r="D479" s="2" t="n"/>
    </x:row>
    <x:row r="480" s="71" customFormat="1" ht="14.25" customHeight="1">
      <x:c r="A480" s="3" t="n"/>
      <x:c r="B480" s="3" t="n"/>
      <x:c r="D480" s="2" t="n"/>
    </x:row>
    <x:row r="481" s="71" customFormat="1" ht="14.25" customHeight="1">
      <x:c r="A481" s="3" t="n"/>
      <x:c r="B481" s="3" t="n"/>
      <x:c r="D481" s="2" t="n"/>
    </x:row>
    <x:row r="482" s="71" customFormat="1" ht="14.25" customHeight="1">
      <x:c r="A482" s="3" t="n"/>
      <x:c r="B482" s="3" t="n"/>
      <x:c r="D482" s="2" t="n"/>
    </x:row>
    <x:row r="483" s="71" customFormat="1" ht="14.25" customHeight="1">
      <x:c r="A483" s="3" t="n"/>
      <x:c r="B483" s="3" t="n"/>
      <x:c r="D483" s="2" t="n"/>
    </x:row>
    <x:row r="484" s="71" customFormat="1" ht="14.25" customHeight="1">
      <x:c r="A484" s="3" t="n"/>
      <x:c r="B484" s="3" t="n"/>
      <x:c r="D484" s="2" t="n"/>
    </x:row>
    <x:row r="485" s="71" customFormat="1" ht="14.25" customHeight="1">
      <x:c r="A485" s="3" t="n"/>
      <x:c r="B485" s="3" t="n"/>
      <x:c r="D485" s="2" t="n"/>
    </x:row>
    <x:row r="486" s="71" customFormat="1" ht="14.25" customHeight="1">
      <x:c r="A486" s="3" t="n"/>
      <x:c r="B486" s="3" t="n"/>
      <x:c r="D486" s="2" t="n"/>
    </x:row>
    <x:row r="487" s="71" customFormat="1" ht="14.25" customHeight="1">
      <x:c r="A487" s="3" t="n"/>
      <x:c r="B487" s="3" t="n"/>
      <x:c r="D487" s="2" t="n"/>
    </x:row>
    <x:row r="488" s="71" customFormat="1" ht="14.25" customHeight="1">
      <x:c r="A488" s="3" t="n"/>
      <x:c r="B488" s="3" t="n"/>
      <x:c r="D488" s="2" t="n"/>
    </x:row>
    <x:row r="489" s="71" customFormat="1" ht="14.25" customHeight="1">
      <x:c r="A489" s="3" t="n"/>
      <x:c r="B489" s="3" t="n"/>
      <x:c r="D489" s="2" t="n"/>
    </x:row>
    <x:row r="490" s="71" customFormat="1" ht="14.25" customHeight="1">
      <x:c r="A490" s="3" t="n"/>
      <x:c r="B490" s="3" t="n"/>
      <x:c r="D490" s="2" t="n"/>
    </x:row>
    <x:row r="491" s="71" customFormat="1" ht="14.25" customHeight="1">
      <x:c r="A491" s="3" t="n"/>
      <x:c r="B491" s="3" t="n"/>
      <x:c r="D491" s="2" t="n"/>
    </x:row>
    <x:row r="492" s="71" customFormat="1" ht="14.25" customHeight="1">
      <x:c r="A492" s="3" t="n"/>
      <x:c r="B492" s="3" t="n"/>
      <x:c r="D492" s="2" t="n"/>
    </x:row>
    <x:row r="493" s="71" customFormat="1" ht="14.25" customHeight="1">
      <x:c r="A493" s="3" t="n"/>
      <x:c r="B493" s="3" t="n"/>
      <x:c r="D493" s="2" t="n"/>
    </x:row>
    <x:row r="494" s="71" customFormat="1" ht="14.25" customHeight="1">
      <x:c r="A494" s="3" t="n"/>
      <x:c r="B494" s="3" t="n"/>
      <x:c r="D494" s="2" t="n"/>
    </x:row>
    <x:row r="495" s="71" customFormat="1" ht="14.25" customHeight="1">
      <x:c r="A495" s="3" t="n"/>
      <x:c r="B495" s="3" t="n"/>
      <x:c r="D495" s="2" t="n"/>
    </x:row>
    <x:row r="496" s="71" customFormat="1" ht="14.25" customHeight="1">
      <x:c r="A496" s="3" t="n"/>
      <x:c r="B496" s="3" t="n"/>
      <x:c r="D496" s="2" t="n"/>
    </x:row>
    <x:row r="497" s="71" customFormat="1" ht="14.25" customHeight="1">
      <x:c r="A497" s="3" t="n"/>
      <x:c r="B497" s="3" t="n"/>
      <x:c r="D497" s="2" t="n"/>
    </x:row>
    <x:row r="498" s="71" customFormat="1" ht="14.25" customHeight="1">
      <x:c r="A498" s="3" t="n"/>
      <x:c r="B498" s="3" t="n"/>
      <x:c r="D498" s="2" t="n"/>
    </x:row>
    <x:row r="499" s="71" customFormat="1" ht="14.25" customHeight="1">
      <x:c r="A499" s="3" t="n"/>
      <x:c r="B499" s="3" t="n"/>
      <x:c r="D499" s="2" t="n"/>
    </x:row>
    <x:row r="500" s="71" customFormat="1" ht="14.25" customHeight="1">
      <x:c r="A500" s="3" t="n"/>
      <x:c r="B500" s="3" t="n"/>
      <x:c r="D500" s="2" t="n"/>
    </x:row>
    <x:row r="501" s="71" customFormat="1" ht="14.25" customHeight="1">
      <x:c r="A501" s="3" t="n"/>
      <x:c r="B501" s="3" t="n"/>
      <x:c r="D501" s="2" t="n"/>
    </x:row>
    <x:row r="502" s="71" customFormat="1" ht="14.25" customHeight="1">
      <x:c r="A502" s="3" t="n"/>
      <x:c r="B502" s="3" t="n"/>
      <x:c r="D502" s="2" t="n"/>
    </x:row>
    <x:row r="503" s="71" customFormat="1" ht="14.25" customHeight="1">
      <x:c r="A503" s="3" t="n"/>
      <x:c r="B503" s="3" t="n"/>
      <x:c r="D503" s="2" t="n"/>
    </x:row>
    <x:row r="504" s="71" customFormat="1" ht="14.25" customHeight="1">
      <x:c r="A504" s="3" t="n"/>
      <x:c r="B504" s="3" t="n"/>
      <x:c r="D504" s="2" t="n"/>
    </x:row>
    <x:row r="505" s="71" customFormat="1" ht="14.25" customHeight="1">
      <x:c r="A505" s="3" t="n"/>
      <x:c r="B505" s="3" t="n"/>
      <x:c r="D505" s="2" t="n"/>
    </x:row>
    <x:row r="506" s="71" customFormat="1" ht="14.25" customHeight="1">
      <x:c r="A506" s="3" t="n"/>
      <x:c r="B506" s="3" t="n"/>
      <x:c r="D506" s="2" t="n"/>
    </x:row>
    <x:row r="507" s="71" customFormat="1" ht="14.25" customHeight="1">
      <x:c r="A507" s="3" t="n"/>
      <x:c r="B507" s="3" t="n"/>
      <x:c r="D507" s="2" t="n"/>
    </x:row>
    <x:row r="508" s="71" customFormat="1" ht="14.25" customHeight="1">
      <x:c r="A508" s="3" t="n"/>
      <x:c r="B508" s="3" t="n"/>
      <x:c r="D508" s="2" t="n"/>
    </x:row>
    <x:row r="509" s="71" customFormat="1" ht="14.25" customHeight="1">
      <x:c r="A509" s="3" t="n"/>
      <x:c r="B509" s="3" t="n"/>
      <x:c r="D509" s="2" t="n"/>
    </x:row>
    <x:row r="510" s="71" customFormat="1" ht="14.25" customHeight="1">
      <x:c r="A510" s="3" t="n"/>
      <x:c r="B510" s="3" t="n"/>
      <x:c r="D510" s="2" t="n"/>
    </x:row>
    <x:row r="511" s="71" customFormat="1" ht="14.25" customHeight="1">
      <x:c r="A511" s="3" t="n"/>
      <x:c r="B511" s="3" t="n"/>
      <x:c r="D511" s="2" t="n"/>
    </x:row>
    <x:row r="512" s="71" customFormat="1" ht="14.25" customHeight="1">
      <x:c r="A512" s="3" t="n"/>
      <x:c r="B512" s="3" t="n"/>
      <x:c r="D512" s="2" t="n"/>
    </x:row>
    <x:row r="513" s="71" customFormat="1" ht="14.25" customHeight="1">
      <x:c r="A513" s="3" t="n"/>
      <x:c r="B513" s="3" t="n"/>
      <x:c r="D513" s="2" t="n"/>
    </x:row>
    <x:row r="514" s="71" customFormat="1" ht="14.25" customHeight="1">
      <x:c r="A514" s="3" t="n"/>
      <x:c r="B514" s="3" t="n"/>
      <x:c r="D514" s="2" t="n"/>
    </x:row>
    <x:row r="515" s="71" customFormat="1" ht="14.25" customHeight="1">
      <x:c r="A515" s="3" t="n"/>
      <x:c r="B515" s="3" t="n"/>
      <x:c r="D515" s="2" t="n"/>
    </x:row>
    <x:row r="516" s="71" customFormat="1" ht="14.25" customHeight="1">
      <x:c r="A516" s="3" t="n"/>
      <x:c r="B516" s="3" t="n"/>
      <x:c r="D516" s="2" t="n"/>
    </x:row>
    <x:row r="517" s="71" customFormat="1" ht="14.25" customHeight="1">
      <x:c r="A517" s="3" t="n"/>
      <x:c r="B517" s="3" t="n"/>
      <x:c r="D517" s="2" t="n"/>
    </x:row>
    <x:row r="518" s="71" customFormat="1" ht="14.25" customHeight="1">
      <x:c r="A518" s="3" t="n"/>
      <x:c r="B518" s="3" t="n"/>
      <x:c r="D518" s="2" t="n"/>
    </x:row>
    <x:row r="519" s="71" customFormat="1" ht="14.25" customHeight="1">
      <x:c r="A519" s="3" t="n"/>
      <x:c r="B519" s="3" t="n"/>
      <x:c r="D519" s="2" t="n"/>
    </x:row>
    <x:row r="520" s="71" customFormat="1" ht="14.25" customHeight="1">
      <x:c r="A520" s="3" t="n"/>
      <x:c r="B520" s="3" t="n"/>
      <x:c r="D520" s="2" t="n"/>
    </x:row>
    <x:row r="521" s="71" customFormat="1" ht="14.25" customHeight="1">
      <x:c r="A521" s="3" t="n"/>
      <x:c r="B521" s="3" t="n"/>
      <x:c r="D521" s="2" t="n"/>
    </x:row>
    <x:row r="522" s="71" customFormat="1" ht="14.25" customHeight="1">
      <x:c r="A522" s="3" t="n"/>
      <x:c r="B522" s="3" t="n"/>
      <x:c r="D522" s="2" t="n"/>
    </x:row>
    <x:row r="523" s="71" customFormat="1" ht="14.25" customHeight="1">
      <x:c r="A523" s="3" t="n"/>
      <x:c r="B523" s="3" t="n"/>
      <x:c r="D523" s="2" t="n"/>
    </x:row>
    <x:row r="524" s="71" customFormat="1" ht="14.25" customHeight="1">
      <x:c r="A524" s="3" t="n"/>
      <x:c r="B524" s="3" t="n"/>
      <x:c r="D524" s="2" t="n"/>
    </x:row>
    <x:row r="525" s="71" customFormat="1" ht="14.25" customHeight="1">
      <x:c r="A525" s="3" t="n"/>
      <x:c r="B525" s="3" t="n"/>
      <x:c r="D525" s="2" t="n"/>
    </x:row>
    <x:row r="526" s="71" customFormat="1" ht="14.25" customHeight="1">
      <x:c r="A526" s="3" t="n"/>
      <x:c r="B526" s="3" t="n"/>
      <x:c r="D526" s="2" t="n"/>
    </x:row>
    <x:row r="527" s="71" customFormat="1" ht="14.25" customHeight="1">
      <x:c r="A527" s="3" t="n"/>
      <x:c r="B527" s="3" t="n"/>
      <x:c r="D527" s="2" t="n"/>
    </x:row>
    <x:row r="528" s="71" customFormat="1" ht="14.25" customHeight="1">
      <x:c r="A528" s="3" t="n"/>
      <x:c r="B528" s="3" t="n"/>
      <x:c r="D528" s="2" t="n"/>
    </x:row>
    <x:row r="529" s="71" customFormat="1" ht="14.25" customHeight="1">
      <x:c r="A529" s="3" t="n"/>
      <x:c r="B529" s="3" t="n"/>
      <x:c r="D529" s="2" t="n"/>
    </x:row>
    <x:row r="530" s="71" customFormat="1" ht="14.25" customHeight="1">
      <x:c r="A530" s="3" t="n"/>
      <x:c r="B530" s="3" t="n"/>
      <x:c r="D530" s="2" t="n"/>
    </x:row>
    <x:row r="531" s="71" customFormat="1" ht="14.25" customHeight="1">
      <x:c r="A531" s="3" t="n"/>
      <x:c r="B531" s="3" t="n"/>
      <x:c r="D531" s="2" t="n"/>
    </x:row>
    <x:row r="532" s="71" customFormat="1" ht="14.25" customHeight="1">
      <x:c r="A532" s="3" t="n"/>
      <x:c r="B532" s="3" t="n"/>
      <x:c r="D532" s="2" t="n"/>
    </x:row>
    <x:row r="533" s="71" customFormat="1" ht="14.25" customHeight="1">
      <x:c r="A533" s="3" t="n"/>
      <x:c r="B533" s="3" t="n"/>
      <x:c r="D533" s="2" t="n"/>
    </x:row>
    <x:row r="534" s="71" customFormat="1" ht="14.25" customHeight="1">
      <x:c r="A534" s="3" t="n"/>
      <x:c r="B534" s="3" t="n"/>
      <x:c r="D534" s="2" t="n"/>
    </x:row>
    <x:row r="535" s="71" customFormat="1" ht="14.25" customHeight="1">
      <x:c r="A535" s="3" t="n"/>
      <x:c r="B535" s="3" t="n"/>
      <x:c r="D535" s="2" t="n"/>
    </x:row>
    <x:row r="536" s="71" customFormat="1" ht="14.25" customHeight="1">
      <x:c r="A536" s="3" t="n"/>
      <x:c r="B536" s="3" t="n"/>
      <x:c r="D536" s="2" t="n"/>
    </x:row>
    <x:row r="537" s="71" customFormat="1" ht="14.25" customHeight="1">
      <x:c r="A537" s="3" t="n"/>
      <x:c r="B537" s="3" t="n"/>
      <x:c r="D537" s="2" t="n"/>
    </x:row>
    <x:row r="538" s="71" customFormat="1" ht="14.25" customHeight="1">
      <x:c r="A538" s="3" t="n"/>
      <x:c r="B538" s="3" t="n"/>
      <x:c r="D538" s="2" t="n"/>
    </x:row>
    <x:row r="539" s="71" customFormat="1" ht="14.25" customHeight="1">
      <x:c r="A539" s="3" t="n"/>
      <x:c r="B539" s="3" t="n"/>
      <x:c r="D539" s="2" t="n"/>
    </x:row>
    <x:row r="540" s="71" customFormat="1" ht="14.25" customHeight="1">
      <x:c r="A540" s="3" t="n"/>
      <x:c r="B540" s="3" t="n"/>
      <x:c r="D540" s="2" t="n"/>
    </x:row>
    <x:row r="541" s="71" customFormat="1" ht="14.25" customHeight="1">
      <x:c r="A541" s="3" t="n"/>
      <x:c r="B541" s="3" t="n"/>
      <x:c r="D541" s="2" t="n"/>
    </x:row>
    <x:row r="542" s="71" customFormat="1" ht="14.25" customHeight="1">
      <x:c r="A542" s="3" t="n"/>
      <x:c r="B542" s="3" t="n"/>
      <x:c r="D542" s="2" t="n"/>
    </x:row>
    <x:row r="543" s="71" customFormat="1" ht="14.25" customHeight="1">
      <x:c r="A543" s="3" t="n"/>
      <x:c r="B543" s="3" t="n"/>
      <x:c r="D543" s="2" t="n"/>
    </x:row>
    <x:row r="544" s="71" customFormat="1" ht="14.25" customHeight="1">
      <x:c r="A544" s="3" t="n"/>
      <x:c r="B544" s="3" t="n"/>
      <x:c r="D544" s="2" t="n"/>
    </x:row>
    <x:row r="545" s="71" customFormat="1" ht="14.25" customHeight="1">
      <x:c r="A545" s="3" t="n"/>
      <x:c r="B545" s="3" t="n"/>
      <x:c r="D545" s="2" t="n"/>
    </x:row>
    <x:row r="546" s="71" customFormat="1" ht="14.25" customHeight="1">
      <x:c r="A546" s="3" t="n"/>
      <x:c r="B546" s="3" t="n"/>
      <x:c r="D546" s="2" t="n"/>
    </x:row>
    <x:row r="547" s="71" customFormat="1" ht="14.25" customHeight="1">
      <x:c r="A547" s="3" t="n"/>
      <x:c r="B547" s="3" t="n"/>
      <x:c r="D547" s="2" t="n"/>
    </x:row>
    <x:row r="548" s="71" customFormat="1" ht="14.25" customHeight="1">
      <x:c r="A548" s="3" t="n"/>
      <x:c r="B548" s="3" t="n"/>
      <x:c r="D548" s="2" t="n"/>
    </x:row>
    <x:row r="549" s="71" customFormat="1" ht="14.25" customHeight="1">
      <x:c r="A549" s="3" t="n"/>
      <x:c r="B549" s="3" t="n"/>
      <x:c r="D549" s="2" t="n"/>
    </x:row>
    <x:row r="550" s="71" customFormat="1" ht="14.25" customHeight="1">
      <x:c r="A550" s="3" t="n"/>
      <x:c r="B550" s="3" t="n"/>
      <x:c r="D550" s="2" t="n"/>
    </x:row>
    <x:row r="551" s="71" customFormat="1" ht="14.25" customHeight="1">
      <x:c r="A551" s="3" t="n"/>
      <x:c r="B551" s="3" t="n"/>
      <x:c r="D551" s="2" t="n"/>
    </x:row>
    <x:row r="552" s="71" customFormat="1" ht="14.25" customHeight="1">
      <x:c r="A552" s="3" t="n"/>
      <x:c r="B552" s="3" t="n"/>
      <x:c r="D552" s="2" t="n"/>
    </x:row>
    <x:row r="553" s="71" customFormat="1" ht="14.25" customHeight="1">
      <x:c r="A553" s="3" t="n"/>
      <x:c r="B553" s="3" t="n"/>
      <x:c r="D553" s="2" t="n"/>
    </x:row>
    <x:row r="554" s="71" customFormat="1" ht="14.25" customHeight="1">
      <x:c r="A554" s="3" t="n"/>
      <x:c r="B554" s="3" t="n"/>
      <x:c r="D554" s="2" t="n"/>
    </x:row>
    <x:row r="555" s="71" customFormat="1" ht="14.25" customHeight="1">
      <x:c r="A555" s="3" t="n"/>
      <x:c r="B555" s="3" t="n"/>
      <x:c r="D555" s="2" t="n"/>
    </x:row>
    <x:row r="556" s="71" customFormat="1" ht="14.25" customHeight="1">
      <x:c r="A556" s="3" t="n"/>
      <x:c r="B556" s="3" t="n"/>
      <x:c r="D556" s="2" t="n"/>
    </x:row>
    <x:row r="557" s="71" customFormat="1" ht="14.25" customHeight="1">
      <x:c r="A557" s="3" t="n"/>
      <x:c r="B557" s="3" t="n"/>
      <x:c r="D557" s="2" t="n"/>
    </x:row>
    <x:row r="558" s="71" customFormat="1" ht="14.25" customHeight="1">
      <x:c r="A558" s="3" t="n"/>
      <x:c r="B558" s="3" t="n"/>
      <x:c r="D558" s="2" t="n"/>
    </x:row>
    <x:row r="559" s="71" customFormat="1" ht="14.25" customHeight="1">
      <x:c r="A559" s="3" t="n"/>
      <x:c r="B559" s="3" t="n"/>
      <x:c r="D559" s="2" t="n"/>
    </x:row>
    <x:row r="560" s="71" customFormat="1" ht="14.25" customHeight="1">
      <x:c r="A560" s="3" t="n"/>
      <x:c r="B560" s="3" t="n"/>
      <x:c r="D560" s="2" t="n"/>
    </x:row>
    <x:row r="561" s="71" customFormat="1" ht="14.25" customHeight="1">
      <x:c r="A561" s="3" t="n"/>
      <x:c r="B561" s="3" t="n"/>
      <x:c r="D561" s="2" t="n"/>
    </x:row>
    <x:row r="562" s="71" customFormat="1" ht="14.25" customHeight="1">
      <x:c r="A562" s="3" t="n"/>
      <x:c r="B562" s="3" t="n"/>
      <x:c r="D562" s="2" t="n"/>
    </x:row>
    <x:row r="563" s="71" customFormat="1" ht="14.25" customHeight="1">
      <x:c r="A563" s="3" t="n"/>
      <x:c r="B563" s="3" t="n"/>
      <x:c r="D563" s="2" t="n"/>
    </x:row>
    <x:row r="564" s="71" customFormat="1" ht="14.25" customHeight="1">
      <x:c r="A564" s="3" t="n"/>
      <x:c r="B564" s="3" t="n"/>
      <x:c r="D564" s="2" t="n"/>
    </x:row>
    <x:row r="565" s="71" customFormat="1" ht="14.25" customHeight="1">
      <x:c r="A565" s="3" t="n"/>
      <x:c r="B565" s="3" t="n"/>
      <x:c r="D565" s="2" t="n"/>
    </x:row>
    <x:row r="566" s="71" customFormat="1" ht="14.25" customHeight="1">
      <x:c r="A566" s="3" t="n"/>
      <x:c r="B566" s="3" t="n"/>
      <x:c r="D566" s="2" t="n"/>
    </x:row>
    <x:row r="567" s="71" customFormat="1" ht="14.25" customHeight="1">
      <x:c r="A567" s="3" t="n"/>
      <x:c r="B567" s="3" t="n"/>
      <x:c r="D567" s="2" t="n"/>
    </x:row>
    <x:row r="568" s="71" customFormat="1" ht="14.25" customHeight="1">
      <x:c r="A568" s="3" t="n"/>
      <x:c r="B568" s="3" t="n"/>
      <x:c r="D568" s="2" t="n"/>
    </x:row>
    <x:row r="569" s="71" customFormat="1" ht="14.25" customHeight="1">
      <x:c r="A569" s="3" t="n"/>
      <x:c r="B569" s="3" t="n"/>
      <x:c r="D569" s="2" t="n"/>
    </x:row>
    <x:row r="570" s="71" customFormat="1" ht="14.25" customHeight="1">
      <x:c r="A570" s="3" t="n"/>
      <x:c r="B570" s="3" t="n"/>
      <x:c r="D570" s="2" t="n"/>
    </x:row>
    <x:row r="571" s="71" customFormat="1" ht="14.25" customHeight="1">
      <x:c r="A571" s="3" t="n"/>
      <x:c r="B571" s="3" t="n"/>
      <x:c r="D571" s="2" t="n"/>
    </x:row>
    <x:row r="572" s="71" customFormat="1" ht="14.25" customHeight="1">
      <x:c r="A572" s="3" t="n"/>
      <x:c r="B572" s="3" t="n"/>
      <x:c r="D572" s="2" t="n"/>
    </x:row>
    <x:row r="573" s="71" customFormat="1" ht="14.25" customHeight="1">
      <x:c r="A573" s="3" t="n"/>
      <x:c r="B573" s="3" t="n"/>
      <x:c r="D573" s="2" t="n"/>
    </x:row>
    <x:row r="574" s="71" customFormat="1" ht="14.25" customHeight="1">
      <x:c r="A574" s="3" t="n"/>
      <x:c r="B574" s="3" t="n"/>
      <x:c r="D574" s="2" t="n"/>
    </x:row>
    <x:row r="575" s="71" customFormat="1" ht="14.25" customHeight="1">
      <x:c r="A575" s="3" t="n"/>
      <x:c r="B575" s="3" t="n"/>
      <x:c r="D575" s="2" t="n"/>
    </x:row>
    <x:row r="576" s="71" customFormat="1" ht="14.25" customHeight="1">
      <x:c r="A576" s="3" t="n"/>
      <x:c r="B576" s="3" t="n"/>
      <x:c r="D576" s="2" t="n"/>
    </x:row>
    <x:row r="577" s="71" customFormat="1" ht="14.25" customHeight="1">
      <x:c r="A577" s="3" t="n"/>
      <x:c r="B577" s="3" t="n"/>
      <x:c r="D577" s="2" t="n"/>
    </x:row>
    <x:row r="578" s="71" customFormat="1" ht="14.25" customHeight="1">
      <x:c r="A578" s="3" t="n"/>
      <x:c r="B578" s="3" t="n"/>
      <x:c r="D578" s="2" t="n"/>
    </x:row>
    <x:row r="579" s="71" customFormat="1" ht="14.25" customHeight="1">
      <x:c r="A579" s="3" t="n"/>
      <x:c r="B579" s="3" t="n"/>
      <x:c r="D579" s="2" t="n"/>
    </x:row>
    <x:row r="580" s="71" customFormat="1" ht="14.25" customHeight="1">
      <x:c r="A580" s="3" t="n"/>
      <x:c r="B580" s="3" t="n"/>
      <x:c r="D580" s="2" t="n"/>
    </x:row>
    <x:row r="581" s="71" customFormat="1" ht="14.25" customHeight="1">
      <x:c r="A581" s="3" t="n"/>
      <x:c r="B581" s="3" t="n"/>
      <x:c r="D581" s="2" t="n"/>
    </x:row>
    <x:row r="582" s="71" customFormat="1" ht="14.25" customHeight="1">
      <x:c r="A582" s="3" t="n"/>
      <x:c r="B582" s="3" t="n"/>
      <x:c r="D582" s="2" t="n"/>
    </x:row>
    <x:row r="583" s="71" customFormat="1" ht="14.25" customHeight="1">
      <x:c r="A583" s="3" t="n"/>
      <x:c r="B583" s="3" t="n"/>
      <x:c r="D583" s="2" t="n"/>
    </x:row>
    <x:row r="584" s="71" customFormat="1" ht="14.25" customHeight="1">
      <x:c r="A584" s="3" t="n"/>
      <x:c r="B584" s="3" t="n"/>
      <x:c r="D584" s="2" t="n"/>
    </x:row>
    <x:row r="585" s="71" customFormat="1" ht="14.25" customHeight="1">
      <x:c r="A585" s="3" t="n"/>
      <x:c r="B585" s="3" t="n"/>
      <x:c r="D585" s="2" t="n"/>
    </x:row>
    <x:row r="586" s="71" customFormat="1" ht="14.25" customHeight="1">
      <x:c r="A586" s="3" t="n"/>
      <x:c r="B586" s="3" t="n"/>
      <x:c r="D586" s="2" t="n"/>
    </x:row>
    <x:row r="587" s="71" customFormat="1" ht="14.25" customHeight="1">
      <x:c r="A587" s="3" t="n"/>
      <x:c r="B587" s="3" t="n"/>
      <x:c r="D587" s="2" t="n"/>
    </x:row>
    <x:row r="588" s="71" customFormat="1" ht="14.25" customHeight="1">
      <x:c r="A588" s="3" t="n"/>
      <x:c r="B588" s="3" t="n"/>
      <x:c r="D588" s="2" t="n"/>
    </x:row>
    <x:row r="589" s="71" customFormat="1" ht="14.25" customHeight="1">
      <x:c r="A589" s="3" t="n"/>
      <x:c r="B589" s="3" t="n"/>
      <x:c r="D589" s="2" t="n"/>
    </x:row>
    <x:row r="590" s="71" customFormat="1" ht="14.25" customHeight="1">
      <x:c r="A590" s="3" t="n"/>
      <x:c r="B590" s="3" t="n"/>
      <x:c r="D590" s="2" t="n"/>
    </x:row>
    <x:row r="591" s="71" customFormat="1" ht="14.25" customHeight="1">
      <x:c r="A591" s="3" t="n"/>
      <x:c r="B591" s="3" t="n"/>
      <x:c r="D591" s="2" t="n"/>
    </x:row>
    <x:row r="592" s="71" customFormat="1" ht="14.25" customHeight="1">
      <x:c r="A592" s="3" t="n"/>
      <x:c r="B592" s="3" t="n"/>
      <x:c r="D592" s="2" t="n"/>
    </x:row>
    <x:row r="593" s="71" customFormat="1" ht="14.25" customHeight="1">
      <x:c r="A593" s="3" t="n"/>
      <x:c r="B593" s="3" t="n"/>
      <x:c r="D593" s="2" t="n"/>
    </x:row>
    <x:row r="594" s="71" customFormat="1" ht="14.25" customHeight="1">
      <x:c r="A594" s="3" t="n"/>
      <x:c r="B594" s="3" t="n"/>
      <x:c r="D594" s="2" t="n"/>
    </x:row>
    <x:row r="595" s="71" customFormat="1" ht="14.25" customHeight="1">
      <x:c r="A595" s="3" t="n"/>
      <x:c r="B595" s="3" t="n"/>
      <x:c r="D595" s="2" t="n"/>
    </x:row>
    <x:row r="596" s="71" customFormat="1" ht="14.25" customHeight="1">
      <x:c r="A596" s="3" t="n"/>
      <x:c r="B596" s="3" t="n"/>
      <x:c r="D596" s="2" t="n"/>
    </x:row>
    <x:row r="597" s="71" customFormat="1" ht="14.25" customHeight="1">
      <x:c r="A597" s="3" t="n"/>
      <x:c r="B597" s="3" t="n"/>
      <x:c r="D597" s="2" t="n"/>
    </x:row>
    <x:row r="598" s="71" customFormat="1" ht="14.25" customHeight="1">
      <x:c r="A598" s="3" t="n"/>
      <x:c r="B598" s="3" t="n"/>
      <x:c r="D598" s="2" t="n"/>
    </x:row>
    <x:row r="599" s="71" customFormat="1" ht="14.25" customHeight="1">
      <x:c r="A599" s="3" t="n"/>
      <x:c r="B599" s="3" t="n"/>
      <x:c r="D599" s="2" t="n"/>
    </x:row>
    <x:row r="600" s="71" customFormat="1" ht="14.25" customHeight="1">
      <x:c r="A600" s="3" t="n"/>
      <x:c r="B600" s="3" t="n"/>
      <x:c r="D600" s="2" t="n"/>
    </x:row>
    <x:row r="601" s="71" customFormat="1" ht="14.25" customHeight="1">
      <x:c r="A601" s="3" t="n"/>
      <x:c r="B601" s="3" t="n"/>
      <x:c r="D601" s="2" t="n"/>
    </x:row>
    <x:row r="602" s="71" customFormat="1" ht="14.25" customHeight="1">
      <x:c r="A602" s="3" t="n"/>
      <x:c r="B602" s="3" t="n"/>
      <x:c r="D602" s="2" t="n"/>
    </x:row>
    <x:row r="603" s="71" customFormat="1" ht="14.25" customHeight="1">
      <x:c r="A603" s="3" t="n"/>
      <x:c r="B603" s="3" t="n"/>
      <x:c r="D603" s="2" t="n"/>
    </x:row>
    <x:row r="604" s="71" customFormat="1" ht="14.25" customHeight="1">
      <x:c r="A604" s="3" t="n"/>
      <x:c r="B604" s="3" t="n"/>
      <x:c r="D604" s="2" t="n"/>
    </x:row>
    <x:row r="605" s="71" customFormat="1" ht="14.25" customHeight="1">
      <x:c r="A605" s="3" t="n"/>
      <x:c r="B605" s="3" t="n"/>
      <x:c r="D605" s="2" t="n"/>
    </x:row>
    <x:row r="606" s="71" customFormat="1" ht="14.25" customHeight="1">
      <x:c r="A606" s="3" t="n"/>
      <x:c r="B606" s="3" t="n"/>
      <x:c r="D606" s="2" t="n"/>
    </x:row>
    <x:row r="607" s="71" customFormat="1" ht="14.25" customHeight="1">
      <x:c r="A607" s="3" t="n"/>
      <x:c r="B607" s="3" t="n"/>
      <x:c r="D607" s="2" t="n"/>
    </x:row>
    <x:row r="608" s="71" customFormat="1" ht="14.25" customHeight="1">
      <x:c r="A608" s="3" t="n"/>
      <x:c r="B608" s="3" t="n"/>
      <x:c r="D608" s="2" t="n"/>
    </x:row>
    <x:row r="609" s="71" customFormat="1" ht="14.25" customHeight="1">
      <x:c r="A609" s="3" t="n"/>
      <x:c r="B609" s="3" t="n"/>
      <x:c r="D609" s="2" t="n"/>
    </x:row>
    <x:row r="610" s="71" customFormat="1" ht="14.25" customHeight="1">
      <x:c r="A610" s="3" t="n"/>
      <x:c r="B610" s="3" t="n"/>
      <x:c r="D610" s="2" t="n"/>
    </x:row>
    <x:row r="611" s="71" customFormat="1" ht="14.25" customHeight="1">
      <x:c r="A611" s="3" t="n"/>
      <x:c r="B611" s="3" t="n"/>
      <x:c r="D611" s="2" t="n"/>
    </x:row>
    <x:row r="612" s="71" customFormat="1" ht="14.25" customHeight="1">
      <x:c r="A612" s="3" t="n"/>
      <x:c r="B612" s="3" t="n"/>
      <x:c r="D612" s="2" t="n"/>
    </x:row>
    <x:row r="613" s="71" customFormat="1" ht="14.25" customHeight="1">
      <x:c r="A613" s="3" t="n"/>
      <x:c r="B613" s="3" t="n"/>
      <x:c r="D613" s="2" t="n"/>
    </x:row>
    <x:row r="614" s="71" customFormat="1" ht="14.25" customHeight="1">
      <x:c r="A614" s="3" t="n"/>
      <x:c r="B614" s="3" t="n"/>
      <x:c r="D614" s="2" t="n"/>
    </x:row>
    <x:row r="615" s="71" customFormat="1" ht="14.25" customHeight="1">
      <x:c r="A615" s="3" t="n"/>
      <x:c r="B615" s="3" t="n"/>
      <x:c r="D615" s="2" t="n"/>
    </x:row>
    <x:row r="616" s="71" customFormat="1" ht="14.25" customHeight="1">
      <x:c r="A616" s="3" t="n"/>
      <x:c r="B616" s="3" t="n"/>
      <x:c r="D616" s="2" t="n"/>
    </x:row>
    <x:row r="617" s="71" customFormat="1" ht="14.25" customHeight="1">
      <x:c r="A617" s="3" t="n"/>
      <x:c r="B617" s="3" t="n"/>
      <x:c r="D617" s="2" t="n"/>
    </x:row>
    <x:row r="618" s="71" customFormat="1" ht="14.25" customHeight="1">
      <x:c r="A618" s="3" t="n"/>
      <x:c r="B618" s="3" t="n"/>
      <x:c r="D618" s="2" t="n"/>
    </x:row>
    <x:row r="619" s="71" customFormat="1" ht="14.25" customHeight="1">
      <x:c r="A619" s="3" t="n"/>
      <x:c r="B619" s="3" t="n"/>
      <x:c r="D619" s="2" t="n"/>
    </x:row>
    <x:row r="620" s="71" customFormat="1" ht="14.25" customHeight="1">
      <x:c r="A620" s="3" t="n"/>
      <x:c r="B620" s="3" t="n"/>
      <x:c r="D620" s="2" t="n"/>
    </x:row>
    <x:row r="621" s="71" customFormat="1" ht="14.25" customHeight="1">
      <x:c r="A621" s="3" t="n"/>
      <x:c r="B621" s="3" t="n"/>
      <x:c r="D621" s="2" t="n"/>
    </x:row>
    <x:row r="622" s="71" customFormat="1" ht="14.25" customHeight="1">
      <x:c r="A622" s="3" t="n"/>
      <x:c r="B622" s="3" t="n"/>
      <x:c r="D622" s="2" t="n"/>
    </x:row>
    <x:row r="623" s="71" customFormat="1" ht="14.25" customHeight="1">
      <x:c r="A623" s="3" t="n"/>
      <x:c r="B623" s="3" t="n"/>
      <x:c r="D623" s="2" t="n"/>
    </x:row>
    <x:row r="624" s="71" customFormat="1" ht="14.25" customHeight="1">
      <x:c r="A624" s="3" t="n"/>
      <x:c r="B624" s="3" t="n"/>
      <x:c r="D624" s="2" t="n"/>
    </x:row>
    <x:row r="625" s="71" customFormat="1" ht="14.25" customHeight="1">
      <x:c r="A625" s="3" t="n"/>
      <x:c r="B625" s="3" t="n"/>
      <x:c r="D625" s="2" t="n"/>
    </x:row>
    <x:row r="626" s="71" customFormat="1" ht="14.25" customHeight="1">
      <x:c r="A626" s="3" t="n"/>
      <x:c r="B626" s="3" t="n"/>
      <x:c r="D626" s="2" t="n"/>
    </x:row>
    <x:row r="627" s="71" customFormat="1" ht="14.25" customHeight="1">
      <x:c r="A627" s="3" t="n"/>
      <x:c r="B627" s="3" t="n"/>
      <x:c r="D627" s="2" t="n"/>
    </x:row>
    <x:row r="628" s="71" customFormat="1" ht="14.25" customHeight="1">
      <x:c r="A628" s="3" t="n"/>
      <x:c r="B628" s="3" t="n"/>
      <x:c r="D628" s="2" t="n"/>
    </x:row>
    <x:row r="629" s="71" customFormat="1" ht="14.25" customHeight="1">
      <x:c r="A629" s="3" t="n"/>
      <x:c r="B629" s="3" t="n"/>
      <x:c r="D629" s="2" t="n"/>
    </x:row>
    <x:row r="630" s="71" customFormat="1" ht="14.25" customHeight="1">
      <x:c r="A630" s="3" t="n"/>
      <x:c r="B630" s="3" t="n"/>
      <x:c r="D630" s="2" t="n"/>
    </x:row>
    <x:row r="631" s="71" customFormat="1" ht="14.25" customHeight="1">
      <x:c r="A631" s="3" t="n"/>
      <x:c r="B631" s="3" t="n"/>
      <x:c r="D631" s="2" t="n"/>
    </x:row>
    <x:row r="632" s="71" customFormat="1" ht="14.25" customHeight="1">
      <x:c r="A632" s="3" t="n"/>
      <x:c r="B632" s="3" t="n"/>
      <x:c r="D632" s="2" t="n"/>
    </x:row>
    <x:row r="633" s="71" customFormat="1" ht="14.25" customHeight="1">
      <x:c r="A633" s="3" t="n"/>
      <x:c r="B633" s="3" t="n"/>
      <x:c r="D633" s="2" t="n"/>
    </x:row>
    <x:row r="634" s="71" customFormat="1" ht="14.25" customHeight="1">
      <x:c r="A634" s="3" t="n"/>
      <x:c r="B634" s="3" t="n"/>
      <x:c r="D634" s="2" t="n"/>
    </x:row>
    <x:row r="635" s="71" customFormat="1" ht="14.25" customHeight="1">
      <x:c r="A635" s="3" t="n"/>
      <x:c r="B635" s="3" t="n"/>
      <x:c r="D635" s="2" t="n"/>
    </x:row>
    <x:row r="636" s="71" customFormat="1" ht="14.25" customHeight="1">
      <x:c r="A636" s="3" t="n"/>
      <x:c r="B636" s="3" t="n"/>
      <x:c r="D636" s="2" t="n"/>
    </x:row>
    <x:row r="637" s="71" customFormat="1" ht="14.25" customHeight="1">
      <x:c r="A637" s="3" t="n"/>
      <x:c r="B637" s="3" t="n"/>
      <x:c r="D637" s="2" t="n"/>
    </x:row>
    <x:row r="638" s="71" customFormat="1" ht="14.25" customHeight="1">
      <x:c r="A638" s="3" t="n"/>
      <x:c r="B638" s="3" t="n"/>
      <x:c r="D638" s="2" t="n"/>
    </x:row>
    <x:row r="639" s="71" customFormat="1" ht="14.25" customHeight="1">
      <x:c r="A639" s="3" t="n"/>
      <x:c r="B639" s="3" t="n"/>
      <x:c r="D639" s="2" t="n"/>
    </x:row>
    <x:row r="640" s="71" customFormat="1" ht="14.25" customHeight="1">
      <x:c r="A640" s="3" t="n"/>
      <x:c r="B640" s="3" t="n"/>
      <x:c r="D640" s="2" t="n"/>
    </x:row>
    <x:row r="641" s="71" customFormat="1" ht="14.25" customHeight="1">
      <x:c r="A641" s="3" t="n"/>
      <x:c r="B641" s="3" t="n"/>
      <x:c r="D641" s="2" t="n"/>
    </x:row>
    <x:row r="642" s="71" customFormat="1" ht="14.25" customHeight="1">
      <x:c r="A642" s="3" t="n"/>
      <x:c r="B642" s="3" t="n"/>
      <x:c r="D642" s="2" t="n"/>
    </x:row>
    <x:row r="643" s="71" customFormat="1" ht="14.25" customHeight="1">
      <x:c r="A643" s="3" t="n"/>
      <x:c r="B643" s="3" t="n"/>
      <x:c r="D643" s="2" t="n"/>
    </x:row>
    <x:row r="644" s="71" customFormat="1" ht="14.25" customHeight="1">
      <x:c r="A644" s="3" t="n"/>
      <x:c r="B644" s="3" t="n"/>
      <x:c r="D644" s="2" t="n"/>
    </x:row>
    <x:row r="645" s="71" customFormat="1" ht="14.25" customHeight="1">
      <x:c r="A645" s="3" t="n"/>
      <x:c r="B645" s="3" t="n"/>
      <x:c r="D645" s="2" t="n"/>
    </x:row>
    <x:row r="646" s="71" customFormat="1" ht="14.25" customHeight="1">
      <x:c r="A646" s="3" t="n"/>
      <x:c r="B646" s="3" t="n"/>
      <x:c r="D646" s="2" t="n"/>
    </x:row>
    <x:row r="647" s="71" customFormat="1" ht="14.25" customHeight="1">
      <x:c r="A647" s="3" t="n"/>
      <x:c r="B647" s="3" t="n"/>
      <x:c r="D647" s="2" t="n"/>
    </x:row>
    <x:row r="648" s="71" customFormat="1" ht="14.25" customHeight="1">
      <x:c r="A648" s="3" t="n"/>
      <x:c r="B648" s="3" t="n"/>
      <x:c r="D648" s="2" t="n"/>
    </x:row>
    <x:row r="649" s="71" customFormat="1" ht="14.25" customHeight="1">
      <x:c r="A649" s="3" t="n"/>
      <x:c r="B649" s="3" t="n"/>
      <x:c r="D649" s="2" t="n"/>
    </x:row>
    <x:row r="650" s="71" customFormat="1" ht="14.25" customHeight="1">
      <x:c r="A650" s="3" t="n"/>
      <x:c r="B650" s="3" t="n"/>
      <x:c r="D650" s="2" t="n"/>
    </x:row>
    <x:row r="651" s="71" customFormat="1" ht="14.25" customHeight="1">
      <x:c r="A651" s="3" t="n"/>
      <x:c r="B651" s="3" t="n"/>
      <x:c r="D651" s="2" t="n"/>
    </x:row>
    <x:row r="652" s="71" customFormat="1" ht="14.25" customHeight="1">
      <x:c r="A652" s="3" t="n"/>
      <x:c r="B652" s="3" t="n"/>
      <x:c r="D652" s="2" t="n"/>
    </x:row>
    <x:row r="653" s="71" customFormat="1" ht="14.25" customHeight="1">
      <x:c r="A653" s="3" t="n"/>
      <x:c r="B653" s="3" t="n"/>
      <x:c r="D653" s="2" t="n"/>
    </x:row>
    <x:row r="654" s="71" customFormat="1" ht="14.25" customHeight="1">
      <x:c r="A654" s="3" t="n"/>
      <x:c r="B654" s="3" t="n"/>
      <x:c r="D654" s="2" t="n"/>
    </x:row>
    <x:row r="655" s="71" customFormat="1" ht="14.25" customHeight="1">
      <x:c r="A655" s="3" t="n"/>
      <x:c r="B655" s="3" t="n"/>
      <x:c r="D655" s="2" t="n"/>
    </x:row>
    <x:row r="656" s="71" customFormat="1" ht="14.25" customHeight="1">
      <x:c r="A656" s="3" t="n"/>
      <x:c r="B656" s="3" t="n"/>
      <x:c r="D656" s="2" t="n"/>
    </x:row>
    <x:row r="657" s="71" customFormat="1" ht="14.25" customHeight="1">
      <x:c r="A657" s="3" t="n"/>
      <x:c r="B657" s="3" t="n"/>
      <x:c r="D657" s="2" t="n"/>
    </x:row>
    <x:row r="658" s="71" customFormat="1" ht="14.25" customHeight="1">
      <x:c r="A658" s="3" t="n"/>
      <x:c r="B658" s="3" t="n"/>
      <x:c r="D658" s="2" t="n"/>
    </x:row>
    <x:row r="659" s="71" customFormat="1" ht="14.25" customHeight="1">
      <x:c r="A659" s="3" t="n"/>
      <x:c r="B659" s="3" t="n"/>
      <x:c r="D659" s="2" t="n"/>
    </x:row>
    <x:row r="660" s="71" customFormat="1" ht="14.25" customHeight="1">
      <x:c r="A660" s="3" t="n"/>
      <x:c r="B660" s="3" t="n"/>
      <x:c r="D660" s="2" t="n"/>
    </x:row>
    <x:row r="661" s="71" customFormat="1" ht="14.25" customHeight="1">
      <x:c r="A661" s="3" t="n"/>
      <x:c r="B661" s="3" t="n"/>
      <x:c r="D661" s="2" t="n"/>
    </x:row>
    <x:row r="662" s="71" customFormat="1" ht="14.25" customHeight="1">
      <x:c r="A662" s="3" t="n"/>
      <x:c r="B662" s="3" t="n"/>
      <x:c r="D662" s="2" t="n"/>
    </x:row>
    <x:row r="663" s="71" customFormat="1" ht="14.25" customHeight="1">
      <x:c r="A663" s="3" t="n"/>
      <x:c r="B663" s="3" t="n"/>
      <x:c r="D663" s="2" t="n"/>
    </x:row>
    <x:row r="664" s="71" customFormat="1" ht="14.25" customHeight="1">
      <x:c r="A664" s="3" t="n"/>
      <x:c r="B664" s="3" t="n"/>
      <x:c r="D664" s="2" t="n"/>
    </x:row>
    <x:row r="665" s="71" customFormat="1" ht="14.25" customHeight="1">
      <x:c r="A665" s="3" t="n"/>
      <x:c r="B665" s="3" t="n"/>
      <x:c r="D665" s="2" t="n"/>
    </x:row>
    <x:row r="666" s="71" customFormat="1" ht="14.25" customHeight="1">
      <x:c r="A666" s="3" t="n"/>
      <x:c r="B666" s="3" t="n"/>
      <x:c r="D666" s="2" t="n"/>
    </x:row>
    <x:row r="667" s="71" customFormat="1" ht="14.25" customHeight="1">
      <x:c r="A667" s="3" t="n"/>
      <x:c r="B667" s="3" t="n"/>
      <x:c r="D667" s="2" t="n"/>
    </x:row>
    <x:row r="668" s="71" customFormat="1" ht="14.25" customHeight="1">
      <x:c r="A668" s="3" t="n"/>
      <x:c r="B668" s="3" t="n"/>
      <x:c r="D668" s="2" t="n"/>
    </x:row>
    <x:row r="669" s="71" customFormat="1" ht="14.25" customHeight="1">
      <x:c r="A669" s="3" t="n"/>
      <x:c r="B669" s="3" t="n"/>
      <x:c r="D669" s="2" t="n"/>
    </x:row>
    <x:row r="670" s="71" customFormat="1" ht="14.25" customHeight="1">
      <x:c r="A670" s="3" t="n"/>
      <x:c r="B670" s="3" t="n"/>
      <x:c r="D670" s="2" t="n"/>
    </x:row>
    <x:row r="671" s="71" customFormat="1" ht="14.25" customHeight="1">
      <x:c r="A671" s="3" t="n"/>
      <x:c r="B671" s="3" t="n"/>
      <x:c r="D671" s="2" t="n"/>
    </x:row>
    <x:row r="672" s="71" customFormat="1" ht="14.25" customHeight="1">
      <x:c r="A672" s="3" t="n"/>
      <x:c r="B672" s="3" t="n"/>
      <x:c r="D672" s="2" t="n"/>
    </x:row>
    <x:row r="673" s="71" customFormat="1" ht="14.25" customHeight="1">
      <x:c r="A673" s="3" t="n"/>
      <x:c r="B673" s="3" t="n"/>
      <x:c r="D673" s="2" t="n"/>
    </x:row>
    <x:row r="674" s="71" customFormat="1" ht="14.25" customHeight="1">
      <x:c r="A674" s="3" t="n"/>
      <x:c r="B674" s="3" t="n"/>
      <x:c r="D674" s="2" t="n"/>
    </x:row>
    <x:row r="675" s="71" customFormat="1" ht="14.25" customHeight="1">
      <x:c r="A675" s="3" t="n"/>
      <x:c r="B675" s="3" t="n"/>
      <x:c r="D675" s="2" t="n"/>
    </x:row>
    <x:row r="676" s="71" customFormat="1" ht="14.25" customHeight="1">
      <x:c r="A676" s="3" t="n"/>
      <x:c r="B676" s="3" t="n"/>
      <x:c r="D676" s="2" t="n"/>
    </x:row>
    <x:row r="677" s="71" customFormat="1" ht="14.25" customHeight="1">
      <x:c r="A677" s="3" t="n"/>
      <x:c r="B677" s="3" t="n"/>
      <x:c r="D677" s="2" t="n"/>
    </x:row>
    <x:row r="678" s="71" customFormat="1" ht="14.25" customHeight="1">
      <x:c r="A678" s="3" t="n"/>
      <x:c r="B678" s="3" t="n"/>
      <x:c r="D678" s="2" t="n"/>
    </x:row>
    <x:row r="679" s="71" customFormat="1" ht="14.25" customHeight="1">
      <x:c r="A679" s="3" t="n"/>
      <x:c r="B679" s="3" t="n"/>
      <x:c r="D679" s="2" t="n"/>
    </x:row>
    <x:row r="680" s="71" customFormat="1" ht="14.25" customHeight="1">
      <x:c r="A680" s="3" t="n"/>
      <x:c r="B680" s="3" t="n"/>
      <x:c r="D680" s="2" t="n"/>
    </x:row>
    <x:row r="681" s="71" customFormat="1" ht="14.25" customHeight="1">
      <x:c r="A681" s="3" t="n"/>
      <x:c r="B681" s="3" t="n"/>
      <x:c r="D681" s="2" t="n"/>
    </x:row>
    <x:row r="682" s="71" customFormat="1" ht="14.25" customHeight="1">
      <x:c r="A682" s="3" t="n"/>
      <x:c r="B682" s="3" t="n"/>
      <x:c r="D682" s="2" t="n"/>
    </x:row>
    <x:row r="683" s="71" customFormat="1" ht="14.25" customHeight="1">
      <x:c r="A683" s="3" t="n"/>
      <x:c r="B683" s="3" t="n"/>
      <x:c r="D683" s="2" t="n"/>
    </x:row>
    <x:row r="684" s="71" customFormat="1" ht="14.25" customHeight="1">
      <x:c r="A684" s="3" t="n"/>
      <x:c r="B684" s="3" t="n"/>
      <x:c r="D684" s="2" t="n"/>
    </x:row>
    <x:row r="685" s="71" customFormat="1" ht="14.25" customHeight="1">
      <x:c r="A685" s="3" t="n"/>
      <x:c r="B685" s="3" t="n"/>
      <x:c r="D685" s="2" t="n"/>
    </x:row>
    <x:row r="686" s="71" customFormat="1" ht="14.25" customHeight="1">
      <x:c r="A686" s="3" t="n"/>
      <x:c r="B686" s="3" t="n"/>
      <x:c r="D686" s="2" t="n"/>
    </x:row>
    <x:row r="687" s="71" customFormat="1" ht="14.25" customHeight="1">
      <x:c r="A687" s="3" t="n"/>
      <x:c r="B687" s="3" t="n"/>
      <x:c r="D687" s="2" t="n"/>
    </x:row>
    <x:row r="688" s="71" customFormat="1" ht="14.25" customHeight="1">
      <x:c r="A688" s="3" t="n"/>
      <x:c r="B688" s="3" t="n"/>
      <x:c r="D688" s="2" t="n"/>
    </x:row>
    <x:row r="689" s="71" customFormat="1" ht="14.25" customHeight="1">
      <x:c r="A689" s="3" t="n"/>
      <x:c r="B689" s="3" t="n"/>
      <x:c r="D689" s="2" t="n"/>
    </x:row>
    <x:row r="690" s="71" customFormat="1" ht="14.25" customHeight="1">
      <x:c r="A690" s="3" t="n"/>
      <x:c r="B690" s="3" t="n"/>
      <x:c r="D690" s="2" t="n"/>
    </x:row>
    <x:row r="691" s="71" customFormat="1" ht="14.25" customHeight="1">
      <x:c r="A691" s="3" t="n"/>
      <x:c r="B691" s="3" t="n"/>
      <x:c r="D691" s="2" t="n"/>
    </x:row>
    <x:row r="692" s="71" customFormat="1" ht="14.25" customHeight="1">
      <x:c r="A692" s="3" t="n"/>
      <x:c r="B692" s="3" t="n"/>
      <x:c r="D692" s="2" t="n"/>
    </x:row>
    <x:row r="693" s="71" customFormat="1" ht="14.25" customHeight="1">
      <x:c r="A693" s="3" t="n"/>
      <x:c r="B693" s="3" t="n"/>
      <x:c r="D693" s="2" t="n"/>
    </x:row>
    <x:row r="694" s="71" customFormat="1" ht="14.25" customHeight="1">
      <x:c r="A694" s="3" t="n"/>
      <x:c r="B694" s="3" t="n"/>
      <x:c r="D694" s="2" t="n"/>
    </x:row>
    <x:row r="695" s="71" customFormat="1" ht="14.25" customHeight="1">
      <x:c r="A695" s="3" t="n"/>
      <x:c r="B695" s="3" t="n"/>
      <x:c r="D695" s="2" t="n"/>
    </x:row>
    <x:row r="696" s="71" customFormat="1" ht="14.25" customHeight="1">
      <x:c r="A696" s="3" t="n"/>
      <x:c r="B696" s="3" t="n"/>
      <x:c r="D696" s="2" t="n"/>
    </x:row>
    <x:row r="697" s="71" customFormat="1" ht="14.25" customHeight="1">
      <x:c r="A697" s="3" t="n"/>
      <x:c r="B697" s="3" t="n"/>
      <x:c r="D697" s="2" t="n"/>
    </x:row>
    <x:row r="698" s="71" customFormat="1" ht="14.25" customHeight="1">
      <x:c r="A698" s="3" t="n"/>
      <x:c r="B698" s="3" t="n"/>
      <x:c r="D698" s="2" t="n"/>
    </x:row>
    <x:row r="699" s="71" customFormat="1" ht="14.25" customHeight="1">
      <x:c r="A699" s="3" t="n"/>
      <x:c r="B699" s="3" t="n"/>
      <x:c r="D699" s="2" t="n"/>
    </x:row>
    <x:row r="700" s="71" customFormat="1" ht="14.25" customHeight="1">
      <x:c r="A700" s="3" t="n"/>
      <x:c r="B700" s="3" t="n"/>
      <x:c r="D700" s="2" t="n"/>
    </x:row>
    <x:row r="701" s="71" customFormat="1" ht="14.25" customHeight="1">
      <x:c r="A701" s="3" t="n"/>
      <x:c r="B701" s="3" t="n"/>
      <x:c r="D701" s="2" t="n"/>
    </x:row>
    <x:row r="702" s="71" customFormat="1" ht="14.25" customHeight="1">
      <x:c r="A702" s="3" t="n"/>
      <x:c r="B702" s="3" t="n"/>
      <x:c r="D702" s="2" t="n"/>
    </x:row>
    <x:row r="703" s="71" customFormat="1" ht="14.25" customHeight="1">
      <x:c r="A703" s="3" t="n"/>
      <x:c r="B703" s="3" t="n"/>
      <x:c r="D703" s="2" t="n"/>
    </x:row>
    <x:row r="704" s="71" customFormat="1" ht="14.25" customHeight="1">
      <x:c r="A704" s="3" t="n"/>
      <x:c r="B704" s="3" t="n"/>
      <x:c r="D704" s="2" t="n"/>
    </x:row>
    <x:row r="705" s="71" customFormat="1" ht="14.25" customHeight="1">
      <x:c r="A705" s="3" t="n"/>
      <x:c r="B705" s="3" t="n"/>
      <x:c r="D705" s="2" t="n"/>
    </x:row>
    <x:row r="706" s="71" customFormat="1" ht="14.25" customHeight="1">
      <x:c r="A706" s="3" t="n"/>
      <x:c r="B706" s="3" t="n"/>
      <x:c r="D706" s="2" t="n"/>
    </x:row>
    <x:row r="707" s="71" customFormat="1" ht="14.25" customHeight="1">
      <x:c r="A707" s="3" t="n"/>
      <x:c r="B707" s="3" t="n"/>
      <x:c r="D707" s="2" t="n"/>
    </x:row>
    <x:row r="708" s="71" customFormat="1" ht="14.25" customHeight="1">
      <x:c r="A708" s="3" t="n"/>
      <x:c r="B708" s="3" t="n"/>
      <x:c r="D708" s="2" t="n"/>
    </x:row>
    <x:row r="709" s="71" customFormat="1" ht="14.25" customHeight="1">
      <x:c r="A709" s="3" t="n"/>
      <x:c r="B709" s="3" t="n"/>
      <x:c r="D709" s="2" t="n"/>
    </x:row>
    <x:row r="710" s="71" customFormat="1" ht="14.25" customHeight="1">
      <x:c r="A710" s="3" t="n"/>
      <x:c r="B710" s="3" t="n"/>
      <x:c r="D710" s="2" t="n"/>
    </x:row>
    <x:row r="711" s="71" customFormat="1" ht="14.25" customHeight="1">
      <x:c r="A711" s="3" t="n"/>
      <x:c r="B711" s="3" t="n"/>
      <x:c r="D711" s="2" t="n"/>
    </x:row>
    <x:row r="712" s="71" customFormat="1" ht="14.25" customHeight="1">
      <x:c r="A712" s="3" t="n"/>
      <x:c r="B712" s="3" t="n"/>
      <x:c r="D712" s="2" t="n"/>
    </x:row>
    <x:row r="713" s="71" customFormat="1" ht="14.25" customHeight="1">
      <x:c r="A713" s="3" t="n"/>
      <x:c r="B713" s="3" t="n"/>
      <x:c r="D713" s="2" t="n"/>
    </x:row>
    <x:row r="714" s="71" customFormat="1" ht="14.25" customHeight="1">
      <x:c r="A714" s="3" t="n"/>
      <x:c r="B714" s="3" t="n"/>
      <x:c r="D714" s="2" t="n"/>
    </x:row>
    <x:row r="715" s="71" customFormat="1" ht="14.25" customHeight="1">
      <x:c r="A715" s="3" t="n"/>
      <x:c r="B715" s="3" t="n"/>
      <x:c r="D715" s="2" t="n"/>
    </x:row>
    <x:row r="716" s="71" customFormat="1" ht="14.25" customHeight="1">
      <x:c r="A716" s="3" t="n"/>
      <x:c r="B716" s="3" t="n"/>
      <x:c r="D716" s="2" t="n"/>
    </x:row>
    <x:row r="717" s="71" customFormat="1" ht="14.25" customHeight="1">
      <x:c r="A717" s="3" t="n"/>
      <x:c r="B717" s="3" t="n"/>
      <x:c r="D717" s="2" t="n"/>
    </x:row>
    <x:row r="718" s="71" customFormat="1" ht="14.25" customHeight="1">
      <x:c r="A718" s="3" t="n"/>
      <x:c r="B718" s="3" t="n"/>
      <x:c r="D718" s="2" t="n"/>
    </x:row>
    <x:row r="719" s="71" customFormat="1" ht="14.25" customHeight="1">
      <x:c r="A719" s="3" t="n"/>
      <x:c r="B719" s="3" t="n"/>
      <x:c r="D719" s="2" t="n"/>
    </x:row>
    <x:row r="720" s="71" customFormat="1" ht="14.25" customHeight="1">
      <x:c r="A720" s="3" t="n"/>
      <x:c r="B720" s="3" t="n"/>
      <x:c r="D720" s="2" t="n"/>
    </x:row>
    <x:row r="721" s="71" customFormat="1" ht="14.25" customHeight="1">
      <x:c r="A721" s="3" t="n"/>
      <x:c r="B721" s="3" t="n"/>
      <x:c r="D721" s="2" t="n"/>
    </x:row>
    <x:row r="722" s="71" customFormat="1" ht="14.25" customHeight="1">
      <x:c r="A722" s="3" t="n"/>
      <x:c r="B722" s="3" t="n"/>
      <x:c r="D722" s="2" t="n"/>
    </x:row>
    <x:row r="723" s="71" customFormat="1" ht="14.25" customHeight="1">
      <x:c r="A723" s="3" t="n"/>
      <x:c r="B723" s="3" t="n"/>
      <x:c r="D723" s="2" t="n"/>
    </x:row>
    <x:row r="724" s="71" customFormat="1" ht="14.25" customHeight="1">
      <x:c r="A724" s="3" t="n"/>
      <x:c r="B724" s="3" t="n"/>
      <x:c r="D724" s="2" t="n"/>
    </x:row>
    <x:row r="725" s="71" customFormat="1" ht="14.25" customHeight="1">
      <x:c r="A725" s="3" t="n"/>
      <x:c r="B725" s="3" t="n"/>
      <x:c r="D725" s="2" t="n"/>
    </x:row>
    <x:row r="726" s="71" customFormat="1" ht="14.25" customHeight="1">
      <x:c r="A726" s="3" t="n"/>
      <x:c r="B726" s="3" t="n"/>
      <x:c r="D726" s="2" t="n"/>
    </x:row>
    <x:row r="727" s="71" customFormat="1" ht="14.25" customHeight="1">
      <x:c r="A727" s="3" t="n"/>
      <x:c r="B727" s="3" t="n"/>
      <x:c r="D727" s="2" t="n"/>
    </x:row>
    <x:row r="728" s="71" customFormat="1" ht="14.25" customHeight="1">
      <x:c r="A728" s="3" t="n"/>
      <x:c r="B728" s="3" t="n"/>
      <x:c r="D728" s="2" t="n"/>
    </x:row>
    <x:row r="729" s="71" customFormat="1" ht="14.25" customHeight="1">
      <x:c r="A729" s="3" t="n"/>
      <x:c r="B729" s="3" t="n"/>
      <x:c r="D729" s="2" t="n"/>
    </x:row>
    <x:row r="730" s="71" customFormat="1" ht="14.25" customHeight="1">
      <x:c r="A730" s="3" t="n"/>
      <x:c r="B730" s="3" t="n"/>
      <x:c r="D730" s="2" t="n"/>
    </x:row>
    <x:row r="731" s="71" customFormat="1" ht="14.25" customHeight="1">
      <x:c r="A731" s="3" t="n"/>
      <x:c r="B731" s="3" t="n"/>
      <x:c r="D731" s="2" t="n"/>
    </x:row>
    <x:row r="732" s="71" customFormat="1" ht="14.25" customHeight="1">
      <x:c r="A732" s="3" t="n"/>
      <x:c r="B732" s="3" t="n"/>
      <x:c r="D732" s="2" t="n"/>
    </x:row>
    <x:row r="733" s="71" customFormat="1" ht="14.25" customHeight="1">
      <x:c r="A733" s="3" t="n"/>
      <x:c r="B733" s="3" t="n"/>
      <x:c r="D733" s="2" t="n"/>
    </x:row>
    <x:row r="734" s="71" customFormat="1" ht="14.25" customHeight="1">
      <x:c r="A734" s="3" t="n"/>
      <x:c r="B734" s="3" t="n"/>
      <x:c r="D734" s="2" t="n"/>
    </x:row>
    <x:row r="735" s="71" customFormat="1" ht="14.25" customHeight="1">
      <x:c r="A735" s="3" t="n"/>
      <x:c r="B735" s="3" t="n"/>
      <x:c r="D735" s="2" t="n"/>
    </x:row>
    <x:row r="736" s="71" customFormat="1" ht="14.25" customHeight="1">
      <x:c r="A736" s="3" t="n"/>
      <x:c r="B736" s="3" t="n"/>
      <x:c r="D736" s="2" t="n"/>
    </x:row>
    <x:row r="737" s="71" customFormat="1" ht="14.25" customHeight="1">
      <x:c r="A737" s="3" t="n"/>
      <x:c r="B737" s="3" t="n"/>
      <x:c r="D737" s="2" t="n"/>
    </x:row>
    <x:row r="738" s="71" customFormat="1" ht="14.25" customHeight="1">
      <x:c r="A738" s="3" t="n"/>
      <x:c r="B738" s="3" t="n"/>
      <x:c r="D738" s="2" t="n"/>
    </x:row>
    <x:row r="739" s="71" customFormat="1" ht="14.25" customHeight="1">
      <x:c r="A739" s="3" t="n"/>
      <x:c r="B739" s="3" t="n"/>
      <x:c r="D739" s="2" t="n"/>
    </x:row>
    <x:row r="740" s="71" customFormat="1" ht="14.25" customHeight="1">
      <x:c r="A740" s="3" t="n"/>
      <x:c r="B740" s="3" t="n"/>
      <x:c r="D740" s="2" t="n"/>
    </x:row>
    <x:row r="741" s="71" customFormat="1" ht="14.25" customHeight="1">
      <x:c r="A741" s="3" t="n"/>
      <x:c r="B741" s="3" t="n"/>
      <x:c r="D741" s="2" t="n"/>
    </x:row>
    <x:row r="742" s="71" customFormat="1" ht="14.25" customHeight="1">
      <x:c r="A742" s="3" t="n"/>
      <x:c r="B742" s="3" t="n"/>
      <x:c r="D742" s="2" t="n"/>
    </x:row>
    <x:row r="743" s="71" customFormat="1" ht="14.25" customHeight="1">
      <x:c r="A743" s="3" t="n"/>
      <x:c r="B743" s="3" t="n"/>
      <x:c r="D743" s="2" t="n"/>
    </x:row>
    <x:row r="744" s="71" customFormat="1" ht="14.25" customHeight="1">
      <x:c r="A744" s="3" t="n"/>
      <x:c r="B744" s="3" t="n"/>
      <x:c r="D744" s="2" t="n"/>
    </x:row>
    <x:row r="745" s="71" customFormat="1" ht="14.25" customHeight="1">
      <x:c r="A745" s="3" t="n"/>
      <x:c r="B745" s="3" t="n"/>
      <x:c r="D745" s="2" t="n"/>
    </x:row>
    <x:row r="746" s="71" customFormat="1" ht="14.25" customHeight="1">
      <x:c r="A746" s="3" t="n"/>
      <x:c r="B746" s="3" t="n"/>
      <x:c r="D746" s="2" t="n"/>
    </x:row>
    <x:row r="747" s="71" customFormat="1" ht="14.25" customHeight="1">
      <x:c r="A747" s="3" t="n"/>
      <x:c r="B747" s="3" t="n"/>
      <x:c r="D747" s="2" t="n"/>
    </x:row>
    <x:row r="748" s="71" customFormat="1" ht="14.25" customHeight="1">
      <x:c r="A748" s="3" t="n"/>
      <x:c r="B748" s="3" t="n"/>
      <x:c r="D748" s="2" t="n"/>
    </x:row>
    <x:row r="749" s="71" customFormat="1" ht="14.25" customHeight="1">
      <x:c r="A749" s="3" t="n"/>
      <x:c r="B749" s="3" t="n"/>
      <x:c r="D749" s="2" t="n"/>
    </x:row>
    <x:row r="750" s="71" customFormat="1" ht="14.25" customHeight="1">
      <x:c r="A750" s="3" t="n"/>
      <x:c r="B750" s="3" t="n"/>
      <x:c r="D750" s="2" t="n"/>
    </x:row>
    <x:row r="751" s="71" customFormat="1" ht="14.25" customHeight="1">
      <x:c r="A751" s="3" t="n"/>
      <x:c r="B751" s="3" t="n"/>
      <x:c r="D751" s="2" t="n"/>
    </x:row>
    <x:row r="752" s="71" customFormat="1" ht="14.25" customHeight="1">
      <x:c r="A752" s="3" t="n"/>
      <x:c r="B752" s="3" t="n"/>
      <x:c r="D752" s="2" t="n"/>
    </x:row>
    <x:row r="753" s="71" customFormat="1" ht="14.25" customHeight="1">
      <x:c r="A753" s="3" t="n"/>
      <x:c r="B753" s="3" t="n"/>
      <x:c r="D753" s="2" t="n"/>
    </x:row>
    <x:row r="754" s="71" customFormat="1" ht="14.25" customHeight="1">
      <x:c r="A754" s="3" t="n"/>
      <x:c r="B754" s="3" t="n"/>
      <x:c r="D754" s="2" t="n"/>
    </x:row>
    <x:row r="755" s="71" customFormat="1" ht="14.25" customHeight="1">
      <x:c r="A755" s="3" t="n"/>
      <x:c r="B755" s="3" t="n"/>
      <x:c r="D755" s="2" t="n"/>
    </x:row>
    <x:row r="756" s="71" customFormat="1" ht="14.25" customHeight="1">
      <x:c r="A756" s="3" t="n"/>
      <x:c r="B756" s="3" t="n"/>
      <x:c r="D756" s="2" t="n"/>
    </x:row>
    <x:row r="757" s="71" customFormat="1" ht="14.25" customHeight="1">
      <x:c r="A757" s="3" t="n"/>
      <x:c r="B757" s="3" t="n"/>
      <x:c r="D757" s="2" t="n"/>
    </x:row>
    <x:row r="758" s="71" customFormat="1" ht="14.25" customHeight="1">
      <x:c r="A758" s="3" t="n"/>
      <x:c r="B758" s="3" t="n"/>
      <x:c r="D758" s="2" t="n"/>
    </x:row>
    <x:row r="759" s="71" customFormat="1" ht="14.25" customHeight="1">
      <x:c r="A759" s="3" t="n"/>
      <x:c r="B759" s="3" t="n"/>
      <x:c r="D759" s="2" t="n"/>
    </x:row>
    <x:row r="760" s="71" customFormat="1" ht="14.25" customHeight="1">
      <x:c r="A760" s="3" t="n"/>
      <x:c r="B760" s="3" t="n"/>
      <x:c r="D760" s="2" t="n"/>
    </x:row>
    <x:row r="761" s="71" customFormat="1" ht="14.25" customHeight="1">
      <x:c r="A761" s="3" t="n"/>
      <x:c r="B761" s="3" t="n"/>
      <x:c r="D761" s="2" t="n"/>
    </x:row>
    <x:row r="762" s="71" customFormat="1" ht="14.25" customHeight="1">
      <x:c r="A762" s="3" t="n"/>
      <x:c r="B762" s="3" t="n"/>
      <x:c r="D762" s="2" t="n"/>
    </x:row>
    <x:row r="763" s="71" customFormat="1" ht="14.25" customHeight="1">
      <x:c r="A763" s="3" t="n"/>
      <x:c r="B763" s="3" t="n"/>
      <x:c r="D763" s="2" t="n"/>
    </x:row>
    <x:row r="764" s="71" customFormat="1" ht="14.25" customHeight="1">
      <x:c r="A764" s="3" t="n"/>
      <x:c r="B764" s="3" t="n"/>
      <x:c r="D764" s="2" t="n"/>
    </x:row>
    <x:row r="765" s="71" customFormat="1" ht="14.25" customHeight="1">
      <x:c r="A765" s="3" t="n"/>
      <x:c r="B765" s="3" t="n"/>
      <x:c r="D765" s="2" t="n"/>
    </x:row>
    <x:row r="766" s="71" customFormat="1" ht="14.25" customHeight="1">
      <x:c r="A766" s="3" t="n"/>
      <x:c r="B766" s="3" t="n"/>
      <x:c r="D766" s="2" t="n"/>
    </x:row>
    <x:row r="767" s="71" customFormat="1" ht="14.25" customHeight="1">
      <x:c r="A767" s="3" t="n"/>
      <x:c r="B767" s="3" t="n"/>
      <x:c r="D767" s="2" t="n"/>
    </x:row>
    <x:row r="768" s="71" customFormat="1" ht="14.25" customHeight="1">
      <x:c r="A768" s="3" t="n"/>
      <x:c r="B768" s="3" t="n"/>
      <x:c r="D768" s="2" t="n"/>
    </x:row>
    <x:row r="769" s="71" customFormat="1" ht="14.25" customHeight="1">
      <x:c r="A769" s="3" t="n"/>
      <x:c r="B769" s="3" t="n"/>
      <x:c r="D769" s="2" t="n"/>
    </x:row>
    <x:row r="770" s="71" customFormat="1" ht="14.25" customHeight="1">
      <x:c r="A770" s="3" t="n"/>
      <x:c r="B770" s="3" t="n"/>
      <x:c r="D770" s="2" t="n"/>
    </x:row>
    <x:row r="771" s="71" customFormat="1" ht="14.25" customHeight="1">
      <x:c r="A771" s="3" t="n"/>
      <x:c r="B771" s="3" t="n"/>
      <x:c r="D771" s="2" t="n"/>
    </x:row>
    <x:row r="772" s="71" customFormat="1" ht="14.25" customHeight="1">
      <x:c r="A772" s="3" t="n"/>
      <x:c r="B772" s="3" t="n"/>
      <x:c r="D772" s="2" t="n"/>
    </x:row>
    <x:row r="773" s="71" customFormat="1" ht="14.25" customHeight="1">
      <x:c r="A773" s="3" t="n"/>
      <x:c r="B773" s="3" t="n"/>
      <x:c r="D773" s="2" t="n"/>
    </x:row>
    <x:row r="774" s="71" customFormat="1" ht="14.25" customHeight="1">
      <x:c r="A774" s="3" t="n"/>
      <x:c r="B774" s="3" t="n"/>
      <x:c r="D774" s="2" t="n"/>
    </x:row>
    <x:row r="775" s="71" customFormat="1" ht="14.25" customHeight="1">
      <x:c r="A775" s="3" t="n"/>
      <x:c r="B775" s="3" t="n"/>
      <x:c r="D775" s="2" t="n"/>
    </x:row>
    <x:row r="776" s="71" customFormat="1" ht="14.25" customHeight="1">
      <x:c r="A776" s="3" t="n"/>
      <x:c r="B776" s="3" t="n"/>
      <x:c r="D776" s="2" t="n"/>
    </x:row>
    <x:row r="777" s="71" customFormat="1" ht="14.25" customHeight="1">
      <x:c r="A777" s="3" t="n"/>
      <x:c r="B777" s="3" t="n"/>
      <x:c r="D777" s="2" t="n"/>
    </x:row>
    <x:row r="778" s="71" customFormat="1" ht="14.25" customHeight="1">
      <x:c r="A778" s="3" t="n"/>
      <x:c r="B778" s="3" t="n"/>
      <x:c r="D778" s="2" t="n"/>
    </x:row>
    <x:row r="779" s="71" customFormat="1" ht="14.25" customHeight="1">
      <x:c r="A779" s="3" t="n"/>
      <x:c r="B779" s="3" t="n"/>
      <x:c r="D779" s="2" t="n"/>
    </x:row>
    <x:row r="780" s="71" customFormat="1" ht="14.25" customHeight="1">
      <x:c r="A780" s="3" t="n"/>
      <x:c r="B780" s="3" t="n"/>
      <x:c r="D780" s="2" t="n"/>
    </x:row>
    <x:row r="781" s="71" customFormat="1" ht="14.25" customHeight="1">
      <x:c r="A781" s="3" t="n"/>
      <x:c r="B781" s="3" t="n"/>
      <x:c r="D781" s="2" t="n"/>
    </x:row>
    <x:row r="782" s="71" customFormat="1" ht="14.25" customHeight="1">
      <x:c r="A782" s="3" t="n"/>
      <x:c r="B782" s="3" t="n"/>
      <x:c r="D782" s="2" t="n"/>
    </x:row>
    <x:row r="783" s="71" customFormat="1" ht="14.25" customHeight="1">
      <x:c r="A783" s="3" t="n"/>
      <x:c r="B783" s="3" t="n"/>
      <x:c r="D783" s="2" t="n"/>
    </x:row>
    <x:row r="784" s="71" customFormat="1" ht="14.25" customHeight="1">
      <x:c r="A784" s="3" t="n"/>
      <x:c r="B784" s="3" t="n"/>
      <x:c r="D784" s="2" t="n"/>
    </x:row>
    <x:row r="785" s="71" customFormat="1" ht="14.25" customHeight="1">
      <x:c r="A785" s="3" t="n"/>
      <x:c r="B785" s="3" t="n"/>
      <x:c r="D785" s="2" t="n"/>
    </x:row>
    <x:row r="786" s="71" customFormat="1" ht="14.25" customHeight="1">
      <x:c r="A786" s="3" t="n"/>
      <x:c r="B786" s="3" t="n"/>
      <x:c r="D786" s="2" t="n"/>
    </x:row>
    <x:row r="787" s="71" customFormat="1" ht="14.25" customHeight="1">
      <x:c r="A787" s="3" t="n"/>
      <x:c r="B787" s="3" t="n"/>
      <x:c r="D787" s="2" t="n"/>
    </x:row>
    <x:row r="788" s="71" customFormat="1" ht="14.25" customHeight="1">
      <x:c r="A788" s="3" t="n"/>
      <x:c r="B788" s="3" t="n"/>
      <x:c r="D788" s="2" t="n"/>
    </x:row>
    <x:row r="789" s="71" customFormat="1" ht="14.25" customHeight="1">
      <x:c r="A789" s="3" t="n"/>
      <x:c r="B789" s="3" t="n"/>
      <x:c r="D789" s="2" t="n"/>
    </x:row>
    <x:row r="790" s="71" customFormat="1" ht="14.25" customHeight="1">
      <x:c r="A790" s="3" t="n"/>
      <x:c r="B790" s="3" t="n"/>
      <x:c r="D790" s="2" t="n"/>
    </x:row>
    <x:row r="791" s="71" customFormat="1" ht="14.25" customHeight="1">
      <x:c r="A791" s="3" t="n"/>
      <x:c r="B791" s="3" t="n"/>
      <x:c r="D791" s="2" t="n"/>
    </x:row>
    <x:row r="792" s="71" customFormat="1" ht="14.25" customHeight="1">
      <x:c r="A792" s="3" t="n"/>
      <x:c r="B792" s="3" t="n"/>
      <x:c r="D792" s="2" t="n"/>
    </x:row>
    <x:row r="793" s="71" customFormat="1" ht="14.25" customHeight="1">
      <x:c r="A793" s="3" t="n"/>
      <x:c r="B793" s="3" t="n"/>
      <x:c r="D793" s="2" t="n"/>
    </x:row>
    <x:row r="794" s="71" customFormat="1" ht="14.25" customHeight="1">
      <x:c r="A794" s="3" t="n"/>
      <x:c r="B794" s="3" t="n"/>
      <x:c r="D794" s="2" t="n"/>
    </x:row>
    <x:row r="795" s="71" customFormat="1" ht="14.25" customHeight="1">
      <x:c r="A795" s="3" t="n"/>
      <x:c r="B795" s="3" t="n"/>
      <x:c r="D795" s="2" t="n"/>
    </x:row>
    <x:row r="796" s="71" customFormat="1" ht="14.25" customHeight="1">
      <x:c r="A796" s="3" t="n"/>
      <x:c r="B796" s="3" t="n"/>
      <x:c r="D796" s="2" t="n"/>
    </x:row>
    <x:row r="797" s="71" customFormat="1" ht="14.25" customHeight="1">
      <x:c r="A797" s="3" t="n"/>
      <x:c r="B797" s="3" t="n"/>
      <x:c r="D797" s="2" t="n"/>
    </x:row>
    <x:row r="798" s="71" customFormat="1" ht="14.25" customHeight="1">
      <x:c r="A798" s="3" t="n"/>
      <x:c r="B798" s="3" t="n"/>
      <x:c r="D798" s="2" t="n"/>
    </x:row>
    <x:row r="799" s="71" customFormat="1" ht="14.25" customHeight="1">
      <x:c r="A799" s="3" t="n"/>
      <x:c r="B799" s="3" t="n"/>
      <x:c r="D799" s="2" t="n"/>
    </x:row>
    <x:row r="800" s="71" customFormat="1" ht="14.25" customHeight="1">
      <x:c r="A800" s="3" t="n"/>
      <x:c r="B800" s="3" t="n"/>
      <x:c r="D800" s="2" t="n"/>
    </x:row>
    <x:row r="801" s="71" customFormat="1" ht="14.25" customHeight="1">
      <x:c r="A801" s="3" t="n"/>
      <x:c r="B801" s="3" t="n"/>
      <x:c r="D801" s="2" t="n"/>
    </x:row>
    <x:row r="802" s="71" customFormat="1" ht="14.25" customHeight="1">
      <x:c r="A802" s="3" t="n"/>
      <x:c r="B802" s="3" t="n"/>
      <x:c r="D802" s="2" t="n"/>
    </x:row>
    <x:row r="803" s="71" customFormat="1" ht="14.25" customHeight="1">
      <x:c r="A803" s="3" t="n"/>
      <x:c r="B803" s="3" t="n"/>
      <x:c r="D803" s="2" t="n"/>
    </x:row>
    <x:row r="804" s="71" customFormat="1" ht="14.25" customHeight="1">
      <x:c r="A804" s="3" t="n"/>
      <x:c r="B804" s="3" t="n"/>
      <x:c r="D804" s="2" t="n"/>
    </x:row>
    <x:row r="805" s="71" customFormat="1" ht="14.25" customHeight="1">
      <x:c r="A805" s="3" t="n"/>
      <x:c r="B805" s="3" t="n"/>
      <x:c r="D805" s="2" t="n"/>
    </x:row>
    <x:row r="806" s="71" customFormat="1" ht="14.25" customHeight="1">
      <x:c r="A806" s="3" t="n"/>
      <x:c r="B806" s="3" t="n"/>
      <x:c r="D806" s="2" t="n"/>
    </x:row>
    <x:row r="807" s="71" customFormat="1" ht="14.25" customHeight="1">
      <x:c r="A807" s="3" t="n"/>
      <x:c r="B807" s="3" t="n"/>
      <x:c r="D807" s="2" t="n"/>
    </x:row>
    <x:row r="808" s="71" customFormat="1" ht="14.25" customHeight="1">
      <x:c r="A808" s="3" t="n"/>
      <x:c r="B808" s="3" t="n"/>
      <x:c r="D808" s="2" t="n"/>
    </x:row>
    <x:row r="809" s="71" customFormat="1" ht="14.25" customHeight="1">
      <x:c r="A809" s="3" t="n"/>
      <x:c r="B809" s="3" t="n"/>
      <x:c r="D809" s="2" t="n"/>
    </x:row>
    <x:row r="810" s="71" customFormat="1" ht="14.25" customHeight="1">
      <x:c r="A810" s="3" t="n"/>
      <x:c r="B810" s="3" t="n"/>
      <x:c r="D810" s="2" t="n"/>
    </x:row>
    <x:row r="811" s="71" customFormat="1" ht="14.25" customHeight="1">
      <x:c r="A811" s="3" t="n"/>
      <x:c r="B811" s="3" t="n"/>
      <x:c r="D811" s="2" t="n"/>
    </x:row>
    <x:row r="812" s="71" customFormat="1" ht="14.25" customHeight="1">
      <x:c r="A812" s="3" t="n"/>
      <x:c r="B812" s="3" t="n"/>
      <x:c r="D812" s="2" t="n"/>
    </x:row>
    <x:row r="813" s="71" customFormat="1" ht="14.25" customHeight="1">
      <x:c r="A813" s="3" t="n"/>
      <x:c r="B813" s="3" t="n"/>
      <x:c r="D813" s="2" t="n"/>
    </x:row>
    <x:row r="814" s="71" customFormat="1" ht="14.25" customHeight="1">
      <x:c r="A814" s="3" t="n"/>
      <x:c r="B814" s="3" t="n"/>
      <x:c r="D814" s="2" t="n"/>
    </x:row>
    <x:row r="815" s="71" customFormat="1" ht="14.25" customHeight="1">
      <x:c r="A815" s="3" t="n"/>
      <x:c r="B815" s="3" t="n"/>
      <x:c r="D815" s="2" t="n"/>
    </x:row>
    <x:row r="816" s="71" customFormat="1" ht="14.25" customHeight="1">
      <x:c r="A816" s="3" t="n"/>
      <x:c r="B816" s="3" t="n"/>
      <x:c r="D816" s="2" t="n"/>
    </x:row>
    <x:row r="817" s="71" customFormat="1" ht="14.25" customHeight="1">
      <x:c r="A817" s="3" t="n"/>
      <x:c r="B817" s="3" t="n"/>
      <x:c r="D817" s="2" t="n"/>
    </x:row>
    <x:row r="818" s="71" customFormat="1" ht="14.25" customHeight="1">
      <x:c r="A818" s="3" t="n"/>
      <x:c r="B818" s="3" t="n"/>
      <x:c r="D818" s="2" t="n"/>
    </x:row>
    <x:row r="819" s="71" customFormat="1" ht="14.25" customHeight="1">
      <x:c r="A819" s="3" t="n"/>
      <x:c r="B819" s="3" t="n"/>
      <x:c r="D819" s="2" t="n"/>
    </x:row>
    <x:row r="820" s="71" customFormat="1" ht="14.25" customHeight="1">
      <x:c r="A820" s="3" t="n"/>
      <x:c r="B820" s="3" t="n"/>
      <x:c r="D820" s="2" t="n"/>
    </x:row>
    <x:row r="821" s="71" customFormat="1" ht="14.25" customHeight="1">
      <x:c r="A821" s="3" t="n"/>
      <x:c r="B821" s="3" t="n"/>
      <x:c r="D821" s="2" t="n"/>
    </x:row>
    <x:row r="822" s="71" customFormat="1" ht="14.25" customHeight="1">
      <x:c r="A822" s="3" t="n"/>
      <x:c r="B822" s="3" t="n"/>
      <x:c r="D822" s="2" t="n"/>
    </x:row>
    <x:row r="823" s="71" customFormat="1" ht="14.25" customHeight="1">
      <x:c r="A823" s="3" t="n"/>
      <x:c r="B823" s="3" t="n"/>
      <x:c r="D823" s="2" t="n"/>
    </x:row>
    <x:row r="824" s="71" customFormat="1" ht="14.25" customHeight="1">
      <x:c r="A824" s="3" t="n"/>
      <x:c r="B824" s="3" t="n"/>
      <x:c r="D824" s="2" t="n"/>
    </x:row>
    <x:row r="825" s="71" customFormat="1" ht="14.25" customHeight="1">
      <x:c r="A825" s="3" t="n"/>
      <x:c r="B825" s="3" t="n"/>
      <x:c r="D825" s="2" t="n"/>
    </x:row>
    <x:row r="826" s="71" customFormat="1" ht="14.25" customHeight="1">
      <x:c r="A826" s="3" t="n"/>
      <x:c r="B826" s="3" t="n"/>
      <x:c r="D826" s="2" t="n"/>
    </x:row>
    <x:row r="827" s="71" customFormat="1" ht="14.25" customHeight="1">
      <x:c r="A827" s="3" t="n"/>
      <x:c r="B827" s="3" t="n"/>
      <x:c r="D827" s="2" t="n"/>
    </x:row>
    <x:row r="828" s="71" customFormat="1" ht="14.25" customHeight="1">
      <x:c r="A828" s="3" t="n"/>
      <x:c r="B828" s="3" t="n"/>
      <x:c r="D828" s="2" t="n"/>
    </x:row>
    <x:row r="829" s="71" customFormat="1" ht="14.25" customHeight="1">
      <x:c r="A829" s="3" t="n"/>
      <x:c r="B829" s="3" t="n"/>
      <x:c r="D829" s="2" t="n"/>
    </x:row>
    <x:row r="830" s="71" customFormat="1" ht="14.25" customHeight="1">
      <x:c r="A830" s="3" t="n"/>
      <x:c r="B830" s="3" t="n"/>
      <x:c r="D830" s="2" t="n"/>
    </x:row>
    <x:row r="831" s="71" customFormat="1" ht="14.25" customHeight="1">
      <x:c r="A831" s="3" t="n"/>
      <x:c r="B831" s="3" t="n"/>
      <x:c r="D831" s="2" t="n"/>
    </x:row>
    <x:row r="832" s="71" customFormat="1" ht="14.25" customHeight="1">
      <x:c r="A832" s="3" t="n"/>
      <x:c r="B832" s="3" t="n"/>
      <x:c r="D832" s="2" t="n"/>
    </x:row>
    <x:row r="833" s="71" customFormat="1" ht="14.25" customHeight="1">
      <x:c r="A833" s="3" t="n"/>
      <x:c r="B833" s="3" t="n"/>
      <x:c r="D833" s="2" t="n"/>
    </x:row>
    <x:row r="834" s="71" customFormat="1" ht="14.25" customHeight="1">
      <x:c r="A834" s="3" t="n"/>
      <x:c r="B834" s="3" t="n"/>
      <x:c r="D834" s="2" t="n"/>
    </x:row>
    <x:row r="835" s="71" customFormat="1" ht="14.25" customHeight="1">
      <x:c r="A835" s="3" t="n"/>
      <x:c r="B835" s="3" t="n"/>
      <x:c r="D835" s="2" t="n"/>
    </x:row>
    <x:row r="836" s="71" customFormat="1" ht="14.25" customHeight="1">
      <x:c r="A836" s="3" t="n"/>
      <x:c r="B836" s="3" t="n"/>
      <x:c r="D836" s="2" t="n"/>
    </x:row>
    <x:row r="837" s="71" customFormat="1" ht="14.25" customHeight="1">
      <x:c r="A837" s="3" t="n"/>
      <x:c r="B837" s="3" t="n"/>
      <x:c r="D837" s="2" t="n"/>
    </x:row>
    <x:row r="838" s="71" customFormat="1" ht="14.25" customHeight="1">
      <x:c r="A838" s="3" t="n"/>
      <x:c r="B838" s="3" t="n"/>
      <x:c r="D838" s="2" t="n"/>
    </x:row>
    <x:row r="839" s="71" customFormat="1" ht="14.25" customHeight="1">
      <x:c r="A839" s="3" t="n"/>
      <x:c r="B839" s="3" t="n"/>
      <x:c r="D839" s="2" t="n"/>
    </x:row>
    <x:row r="840" s="71" customFormat="1" ht="14.25" customHeight="1">
      <x:c r="A840" s="3" t="n"/>
      <x:c r="B840" s="3" t="n"/>
      <x:c r="D840" s="2" t="n"/>
    </x:row>
    <x:row r="841" s="71" customFormat="1" ht="14.25" customHeight="1">
      <x:c r="A841" s="3" t="n"/>
      <x:c r="B841" s="3" t="n"/>
      <x:c r="D841" s="2" t="n"/>
    </x:row>
    <x:row r="842" s="71" customFormat="1" ht="14.25" customHeight="1">
      <x:c r="A842" s="3" t="n"/>
      <x:c r="B842" s="3" t="n"/>
      <x:c r="D842" s="2" t="n"/>
    </x:row>
    <x:row r="843" s="71" customFormat="1" ht="14.25" customHeight="1">
      <x:c r="A843" s="3" t="n"/>
      <x:c r="B843" s="3" t="n"/>
      <x:c r="D843" s="2" t="n"/>
    </x:row>
    <x:row r="844" s="71" customFormat="1" ht="14.25" customHeight="1">
      <x:c r="A844" s="3" t="n"/>
      <x:c r="B844" s="3" t="n"/>
      <x:c r="D844" s="2" t="n"/>
    </x:row>
    <x:row r="845" s="71" customFormat="1" ht="14.25" customHeight="1">
      <x:c r="A845" s="3" t="n"/>
      <x:c r="B845" s="3" t="n"/>
      <x:c r="D845" s="2" t="n"/>
    </x:row>
    <x:row r="846" s="71" customFormat="1" ht="14.25" customHeight="1">
      <x:c r="A846" s="3" t="n"/>
      <x:c r="B846" s="3" t="n"/>
      <x:c r="D846" s="2" t="n"/>
    </x:row>
    <x:row r="847" s="71" customFormat="1" ht="14.25" customHeight="1">
      <x:c r="A847" s="3" t="n"/>
      <x:c r="B847" s="3" t="n"/>
      <x:c r="D847" s="2" t="n"/>
    </x:row>
    <x:row r="848" s="71" customFormat="1" ht="14.25" customHeight="1">
      <x:c r="A848" s="3" t="n"/>
      <x:c r="B848" s="3" t="n"/>
      <x:c r="D848" s="2" t="n"/>
    </x:row>
    <x:row r="849" s="71" customFormat="1" ht="14.25" customHeight="1">
      <x:c r="A849" s="3" t="n"/>
      <x:c r="B849" s="3" t="n"/>
      <x:c r="D849" s="2" t="n"/>
    </x:row>
    <x:row r="850" s="71" customFormat="1" ht="14.25" customHeight="1">
      <x:c r="A850" s="3" t="n"/>
      <x:c r="B850" s="3" t="n"/>
      <x:c r="D850" s="2" t="n"/>
    </x:row>
    <x:row r="851" s="71" customFormat="1" ht="14.25" customHeight="1">
      <x:c r="A851" s="3" t="n"/>
      <x:c r="B851" s="3" t="n"/>
      <x:c r="D851" s="2" t="n"/>
    </x:row>
    <x:row r="852" s="71" customFormat="1" ht="14.25" customHeight="1">
      <x:c r="A852" s="3" t="n"/>
      <x:c r="B852" s="3" t="n"/>
      <x:c r="D852" s="2" t="n"/>
    </x:row>
    <x:row r="853" s="71" customFormat="1" ht="14.25" customHeight="1">
      <x:c r="A853" s="3" t="n"/>
      <x:c r="B853" s="3" t="n"/>
      <x:c r="D853" s="2" t="n"/>
    </x:row>
    <x:row r="854" s="71" customFormat="1" ht="14.25" customHeight="1">
      <x:c r="A854" s="3" t="n"/>
      <x:c r="B854" s="3" t="n"/>
      <x:c r="D854" s="2" t="n"/>
    </x:row>
    <x:row r="855" s="71" customFormat="1" ht="14.25" customHeight="1">
      <x:c r="A855" s="3" t="n"/>
      <x:c r="B855" s="3" t="n"/>
      <x:c r="D855" s="2" t="n"/>
    </x:row>
    <x:row r="856" s="71" customFormat="1" ht="14.25" customHeight="1">
      <x:c r="A856" s="3" t="n"/>
      <x:c r="B856" s="3" t="n"/>
      <x:c r="D856" s="2" t="n"/>
    </x:row>
    <x:row r="857" s="71" customFormat="1" ht="14.25" customHeight="1">
      <x:c r="A857" s="3" t="n"/>
      <x:c r="B857" s="3" t="n"/>
      <x:c r="D857" s="2" t="n"/>
    </x:row>
    <x:row r="858" s="71" customFormat="1" ht="14.25" customHeight="1">
      <x:c r="A858" s="3" t="n"/>
      <x:c r="B858" s="3" t="n"/>
      <x:c r="D858" s="2" t="n"/>
    </x:row>
    <x:row r="859" s="71" customFormat="1" ht="14.25" customHeight="1">
      <x:c r="A859" s="3" t="n"/>
      <x:c r="B859" s="3" t="n"/>
      <x:c r="D859" s="2" t="n"/>
    </x:row>
    <x:row r="860" s="71" customFormat="1" ht="14.25" customHeight="1">
      <x:c r="A860" s="3" t="n"/>
      <x:c r="B860" s="3" t="n"/>
      <x:c r="D860" s="2" t="n"/>
    </x:row>
    <x:row r="861" s="71" customFormat="1" ht="14.25" customHeight="1">
      <x:c r="A861" s="3" t="n"/>
      <x:c r="B861" s="3" t="n"/>
      <x:c r="D861" s="2" t="n"/>
    </x:row>
    <x:row r="862" s="71" customFormat="1" ht="14.25" customHeight="1">
      <x:c r="A862" s="3" t="n"/>
      <x:c r="B862" s="3" t="n"/>
      <x:c r="D862" s="2" t="n"/>
    </x:row>
    <x:row r="863" s="71" customFormat="1" ht="14.25" customHeight="1">
      <x:c r="A863" s="3" t="n"/>
      <x:c r="B863" s="3" t="n"/>
      <x:c r="D863" s="2" t="n"/>
    </x:row>
    <x:row r="864" s="71" customFormat="1" ht="14.25" customHeight="1">
      <x:c r="A864" s="3" t="n"/>
      <x:c r="B864" s="3" t="n"/>
      <x:c r="D864" s="2" t="n"/>
    </x:row>
    <x:row r="865" s="71" customFormat="1" ht="14.25" customHeight="1">
      <x:c r="A865" s="3" t="n"/>
      <x:c r="B865" s="3" t="n"/>
      <x:c r="D865" s="2" t="n"/>
    </x:row>
    <x:row r="866" s="71" customFormat="1" ht="14.25" customHeight="1">
      <x:c r="A866" s="3" t="n"/>
      <x:c r="B866" s="3" t="n"/>
      <x:c r="D866" s="2" t="n"/>
    </x:row>
    <x:row r="867" s="71" customFormat="1" ht="14.25" customHeight="1">
      <x:c r="A867" s="3" t="n"/>
      <x:c r="B867" s="3" t="n"/>
      <x:c r="D867" s="2" t="n"/>
    </x:row>
    <x:row r="868" s="71" customFormat="1" ht="14.25" customHeight="1">
      <x:c r="A868" s="3" t="n"/>
      <x:c r="B868" s="3" t="n"/>
      <x:c r="D868" s="2" t="n"/>
    </x:row>
    <x:row r="869" s="71" customFormat="1" ht="14.25" customHeight="1">
      <x:c r="A869" s="3" t="n"/>
      <x:c r="B869" s="3" t="n"/>
      <x:c r="D869" s="2" t="n"/>
    </x:row>
    <x:row r="870" s="71" customFormat="1" ht="14.25" customHeight="1">
      <x:c r="A870" s="3" t="n"/>
      <x:c r="B870" s="3" t="n"/>
      <x:c r="D870" s="2" t="n"/>
    </x:row>
    <x:row r="871" s="71" customFormat="1" ht="14.25" customHeight="1">
      <x:c r="A871" s="3" t="n"/>
      <x:c r="B871" s="3" t="n"/>
      <x:c r="D871" s="2" t="n"/>
    </x:row>
    <x:row r="872" s="71" customFormat="1" ht="14.25" customHeight="1">
      <x:c r="A872" s="3" t="n"/>
      <x:c r="B872" s="3" t="n"/>
      <x:c r="D872" s="2" t="n"/>
    </x:row>
    <x:row r="873" s="71" customFormat="1" ht="14.25" customHeight="1">
      <x:c r="A873" s="3" t="n"/>
      <x:c r="B873" s="3" t="n"/>
      <x:c r="D873" s="2" t="n"/>
    </x:row>
    <x:row r="874" s="71" customFormat="1" ht="14.25" customHeight="1">
      <x:c r="A874" s="3" t="n"/>
      <x:c r="B874" s="3" t="n"/>
      <x:c r="D874" s="2" t="n"/>
    </x:row>
    <x:row r="875" s="71" customFormat="1" ht="14.25" customHeight="1">
      <x:c r="A875" s="3" t="n"/>
      <x:c r="B875" s="3" t="n"/>
      <x:c r="D875" s="2" t="n"/>
    </x:row>
    <x:row r="876" s="71" customFormat="1" ht="14.25" customHeight="1">
      <x:c r="A876" s="3" t="n"/>
      <x:c r="B876" s="3" t="n"/>
      <x:c r="D876" s="2" t="n"/>
    </x:row>
    <x:row r="877" s="71" customFormat="1" ht="14.25" customHeight="1">
      <x:c r="A877" s="3" t="n"/>
      <x:c r="B877" s="3" t="n"/>
      <x:c r="D877" s="2" t="n"/>
    </x:row>
    <x:row r="878" s="71" customFormat="1" ht="14.25" customHeight="1">
      <x:c r="A878" s="3" t="n"/>
      <x:c r="B878" s="3" t="n"/>
      <x:c r="D878" s="2" t="n"/>
    </x:row>
    <x:row r="879" s="71" customFormat="1" ht="14.25" customHeight="1">
      <x:c r="A879" s="3" t="n"/>
      <x:c r="B879" s="3" t="n"/>
      <x:c r="D879" s="2" t="n"/>
    </x:row>
    <x:row r="880" s="71" customFormat="1" ht="14.25" customHeight="1">
      <x:c r="A880" s="3" t="n"/>
      <x:c r="B880" s="3" t="n"/>
      <x:c r="D880" s="2" t="n"/>
    </x:row>
    <x:row r="881" s="71" customFormat="1" ht="14.25" customHeight="1">
      <x:c r="A881" s="3" t="n"/>
      <x:c r="B881" s="3" t="n"/>
      <x:c r="D881" s="2" t="n"/>
    </x:row>
    <x:row r="882" s="71" customFormat="1" ht="14.25" customHeight="1">
      <x:c r="A882" s="3" t="n"/>
      <x:c r="B882" s="3" t="n"/>
      <x:c r="D882" s="2" t="n"/>
    </x:row>
    <x:row r="883" s="71" customFormat="1" ht="14.25" customHeight="1">
      <x:c r="A883" s="3" t="n"/>
      <x:c r="B883" s="3" t="n"/>
      <x:c r="D883" s="2" t="n"/>
    </x:row>
    <x:row r="884" s="71" customFormat="1" ht="14.25" customHeight="1">
      <x:c r="A884" s="3" t="n"/>
      <x:c r="B884" s="3" t="n"/>
      <x:c r="D884" s="2" t="n"/>
    </x:row>
    <x:row r="885" s="71" customFormat="1" ht="14.25" customHeight="1">
      <x:c r="A885" s="3" t="n"/>
      <x:c r="B885" s="3" t="n"/>
      <x:c r="D885" s="2" t="n"/>
    </x:row>
    <x:row r="886" s="71" customFormat="1" ht="14.25" customHeight="1">
      <x:c r="A886" s="3" t="n"/>
      <x:c r="B886" s="3" t="n"/>
      <x:c r="D886" s="2" t="n"/>
    </x:row>
    <x:row r="887" s="71" customFormat="1" ht="14.25" customHeight="1">
      <x:c r="A887" s="3" t="n"/>
      <x:c r="B887" s="3" t="n"/>
      <x:c r="D887" s="2" t="n"/>
    </x:row>
    <x:row r="888" s="71" customFormat="1" ht="14.25" customHeight="1">
      <x:c r="A888" s="3" t="n"/>
      <x:c r="B888" s="3" t="n"/>
      <x:c r="D888" s="2" t="n"/>
    </x:row>
    <x:row r="889" s="71" customFormat="1" ht="14.25" customHeight="1">
      <x:c r="A889" s="3" t="n"/>
      <x:c r="B889" s="3" t="n"/>
      <x:c r="D889" s="2" t="n"/>
    </x:row>
    <x:row r="890" s="71" customFormat="1" ht="14.25" customHeight="1">
      <x:c r="A890" s="3" t="n"/>
      <x:c r="B890" s="3" t="n"/>
      <x:c r="D890" s="2" t="n"/>
    </x:row>
    <x:row r="891" s="71" customFormat="1" ht="14.25" customHeight="1">
      <x:c r="A891" s="3" t="n"/>
      <x:c r="B891" s="3" t="n"/>
      <x:c r="D891" s="2" t="n"/>
    </x:row>
    <x:row r="892" s="71" customFormat="1" ht="14.25" customHeight="1">
      <x:c r="A892" s="3" t="n"/>
      <x:c r="B892" s="3" t="n"/>
      <x:c r="D892" s="2" t="n"/>
    </x:row>
    <x:row r="893" s="71" customFormat="1" ht="14.25" customHeight="1">
      <x:c r="A893" s="3" t="n"/>
      <x:c r="B893" s="3" t="n"/>
      <x:c r="D893" s="2" t="n"/>
    </x:row>
    <x:row r="894" s="71" customFormat="1" ht="14.25" customHeight="1">
      <x:c r="A894" s="3" t="n"/>
      <x:c r="B894" s="3" t="n"/>
      <x:c r="D894" s="2" t="n"/>
    </x:row>
    <x:row r="895" s="71" customFormat="1" ht="14.25" customHeight="1">
      <x:c r="A895" s="3" t="n"/>
      <x:c r="B895" s="3" t="n"/>
      <x:c r="D895" s="2" t="n"/>
    </x:row>
    <x:row r="896" s="71" customFormat="1" ht="14.25" customHeight="1">
      <x:c r="A896" s="3" t="n"/>
      <x:c r="B896" s="3" t="n"/>
      <x:c r="D896" s="2" t="n"/>
    </x:row>
    <x:row r="897" s="71" customFormat="1" ht="14.25" customHeight="1">
      <x:c r="A897" s="3" t="n"/>
      <x:c r="B897" s="3" t="n"/>
      <x:c r="D897" s="2" t="n"/>
    </x:row>
    <x:row r="898" s="71" customFormat="1" ht="14.25" customHeight="1">
      <x:c r="A898" s="3" t="n"/>
      <x:c r="B898" s="3" t="n"/>
      <x:c r="D898" s="2" t="n"/>
    </x:row>
    <x:row r="899" s="71" customFormat="1" ht="14.25" customHeight="1">
      <x:c r="A899" s="3" t="n"/>
      <x:c r="B899" s="3" t="n"/>
      <x:c r="D899" s="2" t="n"/>
    </x:row>
    <x:row r="900" s="71" customFormat="1" ht="14.25" customHeight="1">
      <x:c r="A900" s="3" t="n"/>
      <x:c r="B900" s="3" t="n"/>
      <x:c r="D900" s="2" t="n"/>
    </x:row>
    <x:row r="901" s="71" customFormat="1" ht="14.25" customHeight="1">
      <x:c r="A901" s="3" t="n"/>
      <x:c r="B901" s="3" t="n"/>
      <x:c r="D901" s="2" t="n"/>
    </x:row>
    <x:row r="902" s="71" customFormat="1" ht="14.25" customHeight="1">
      <x:c r="A902" s="3" t="n"/>
      <x:c r="B902" s="3" t="n"/>
      <x:c r="D902" s="2" t="n"/>
    </x:row>
    <x:row r="903" s="71" customFormat="1" ht="14.25" customHeight="1">
      <x:c r="A903" s="3" t="n"/>
      <x:c r="B903" s="3" t="n"/>
      <x:c r="D903" s="2" t="n"/>
    </x:row>
    <x:row r="904" s="71" customFormat="1" ht="14.25" customHeight="1">
      <x:c r="A904" s="3" t="n"/>
      <x:c r="B904" s="3" t="n"/>
      <x:c r="D904" s="2" t="n"/>
    </x:row>
    <x:row r="905" s="71" customFormat="1" ht="14.25" customHeight="1">
      <x:c r="A905" s="3" t="n"/>
      <x:c r="B905" s="3" t="n"/>
      <x:c r="D905" s="2" t="n"/>
    </x:row>
    <x:row r="906" s="71" customFormat="1" ht="14.25" customHeight="1">
      <x:c r="A906" s="3" t="n"/>
      <x:c r="B906" s="3" t="n"/>
      <x:c r="D906" s="2" t="n"/>
    </x:row>
    <x:row r="907" s="71" customFormat="1" ht="14.25" customHeight="1">
      <x:c r="A907" s="3" t="n"/>
      <x:c r="B907" s="3" t="n"/>
      <x:c r="D907" s="2" t="n"/>
    </x:row>
    <x:row r="908" s="71" customFormat="1" ht="14.25" customHeight="1">
      <x:c r="A908" s="3" t="n"/>
      <x:c r="B908" s="3" t="n"/>
      <x:c r="D908" s="2" t="n"/>
    </x:row>
    <x:row r="909" s="71" customFormat="1" ht="14.25" customHeight="1">
      <x:c r="A909" s="3" t="n"/>
      <x:c r="B909" s="3" t="n"/>
      <x:c r="D909" s="2" t="n"/>
    </x:row>
    <x:row r="910" s="71" customFormat="1" ht="14.25" customHeight="1">
      <x:c r="A910" s="3" t="n"/>
      <x:c r="B910" s="3" t="n"/>
      <x:c r="D910" s="2" t="n"/>
    </x:row>
    <x:row r="911" s="71" customFormat="1" ht="14.25" customHeight="1">
      <x:c r="A911" s="3" t="n"/>
      <x:c r="B911" s="3" t="n"/>
      <x:c r="D911" s="2" t="n"/>
    </x:row>
    <x:row r="912" s="71" customFormat="1" ht="14.25" customHeight="1">
      <x:c r="A912" s="3" t="n"/>
      <x:c r="B912" s="3" t="n"/>
      <x:c r="D912" s="2" t="n"/>
    </x:row>
    <x:row r="913" s="71" customFormat="1" ht="14.25" customHeight="1">
      <x:c r="A913" s="3" t="n"/>
      <x:c r="B913" s="3" t="n"/>
      <x:c r="D913" s="2" t="n"/>
    </x:row>
    <x:row r="914" s="71" customFormat="1" ht="14.25" customHeight="1">
      <x:c r="A914" s="3" t="n"/>
      <x:c r="B914" s="3" t="n"/>
      <x:c r="D914" s="2" t="n"/>
    </x:row>
    <x:row r="915" s="71" customFormat="1" ht="14.25" customHeight="1">
      <x:c r="A915" s="3" t="n"/>
      <x:c r="B915" s="3" t="n"/>
      <x:c r="D915" s="2" t="n"/>
    </x:row>
    <x:row r="916" s="71" customFormat="1" ht="14.25" customHeight="1">
      <x:c r="A916" s="3" t="n"/>
      <x:c r="B916" s="3" t="n"/>
      <x:c r="D916" s="2" t="n"/>
    </x:row>
    <x:row r="917" s="71" customFormat="1" ht="14.25" customHeight="1">
      <x:c r="A917" s="3" t="n"/>
      <x:c r="B917" s="3" t="n"/>
      <x:c r="D917" s="2" t="n"/>
    </x:row>
    <x:row r="918" s="71" customFormat="1" ht="14.25" customHeight="1">
      <x:c r="A918" s="3" t="n"/>
      <x:c r="B918" s="3" t="n"/>
      <x:c r="D918" s="2" t="n"/>
    </x:row>
    <x:row r="919" s="71" customFormat="1" ht="14.25" customHeight="1">
      <x:c r="A919" s="3" t="n"/>
      <x:c r="B919" s="3" t="n"/>
      <x:c r="D919" s="2" t="n"/>
    </x:row>
    <x:row r="920" s="71" customFormat="1" ht="14.25" customHeight="1">
      <x:c r="A920" s="3" t="n"/>
      <x:c r="B920" s="3" t="n"/>
      <x:c r="D920" s="2" t="n"/>
    </x:row>
    <x:row r="921" s="71" customFormat="1" ht="14.25" customHeight="1">
      <x:c r="A921" s="3" t="n"/>
      <x:c r="B921" s="3" t="n"/>
      <x:c r="D921" s="2" t="n"/>
    </x:row>
    <x:row r="922" s="71" customFormat="1" ht="14.25" customHeight="1">
      <x:c r="A922" s="3" t="n"/>
      <x:c r="B922" s="3" t="n"/>
      <x:c r="D922" s="2" t="n"/>
    </x:row>
    <x:row r="923" s="71" customFormat="1" ht="14.25" customHeight="1">
      <x:c r="A923" s="3" t="n"/>
      <x:c r="B923" s="3" t="n"/>
      <x:c r="D923" s="2" t="n"/>
    </x:row>
    <x:row r="924" s="71" customFormat="1" ht="14.25" customHeight="1">
      <x:c r="A924" s="3" t="n"/>
      <x:c r="B924" s="3" t="n"/>
      <x:c r="D924" s="2" t="n"/>
    </x:row>
    <x:row r="925" s="71" customFormat="1" ht="14.25" customHeight="1">
      <x:c r="A925" s="3" t="n"/>
      <x:c r="B925" s="3" t="n"/>
      <x:c r="D925" s="2" t="n"/>
    </x:row>
    <x:row r="926" s="71" customFormat="1" ht="14.25" customHeight="1">
      <x:c r="A926" s="3" t="n"/>
      <x:c r="B926" s="3" t="n"/>
      <x:c r="D926" s="2" t="n"/>
    </x:row>
    <x:row r="927" s="71" customFormat="1" ht="14.25" customHeight="1">
      <x:c r="A927" s="3" t="n"/>
      <x:c r="B927" s="3" t="n"/>
      <x:c r="D927" s="2" t="n"/>
    </x:row>
    <x:row r="928" s="71" customFormat="1" ht="14.25" customHeight="1">
      <x:c r="A928" s="3" t="n"/>
      <x:c r="B928" s="3" t="n"/>
      <x:c r="D928" s="2" t="n"/>
    </x:row>
    <x:row r="929" s="71" customFormat="1" ht="14.25" customHeight="1">
      <x:c r="A929" s="3" t="n"/>
      <x:c r="B929" s="3" t="n"/>
      <x:c r="D929" s="2" t="n"/>
    </x:row>
    <x:row r="930" s="71" customFormat="1" ht="14.25" customHeight="1">
      <x:c r="A930" s="3" t="n"/>
      <x:c r="B930" s="3" t="n"/>
      <x:c r="D930" s="2" t="n"/>
    </x:row>
    <x:row r="931" s="71" customFormat="1" ht="14.25" customHeight="1">
      <x:c r="A931" s="3" t="n"/>
      <x:c r="B931" s="3" t="n"/>
      <x:c r="D931" s="2" t="n"/>
    </x:row>
    <x:row r="932" s="71" customFormat="1" ht="14.25" customHeight="1">
      <x:c r="A932" s="3" t="n"/>
      <x:c r="B932" s="3" t="n"/>
      <x:c r="D932" s="2" t="n"/>
    </x:row>
    <x:row r="933" s="71" customFormat="1" ht="14.25" customHeight="1">
      <x:c r="A933" s="3" t="n"/>
      <x:c r="B933" s="3" t="n"/>
      <x:c r="D933" s="2" t="n"/>
    </x:row>
    <x:row r="934" s="71" customFormat="1" ht="14.25" customHeight="1">
      <x:c r="A934" s="3" t="n"/>
      <x:c r="B934" s="3" t="n"/>
      <x:c r="D934" s="2" t="n"/>
    </x:row>
    <x:row r="935" s="71" customFormat="1" ht="14.25" customHeight="1">
      <x:c r="A935" s="3" t="n"/>
      <x:c r="B935" s="3" t="n"/>
      <x:c r="D935" s="2" t="n"/>
    </x:row>
    <x:row r="936" s="71" customFormat="1" ht="14.25" customHeight="1">
      <x:c r="A936" s="3" t="n"/>
      <x:c r="B936" s="3" t="n"/>
      <x:c r="D936" s="2" t="n"/>
    </x:row>
    <x:row r="937" s="71" customFormat="1" ht="14.25" customHeight="1">
      <x:c r="A937" s="3" t="n"/>
      <x:c r="B937" s="3" t="n"/>
      <x:c r="D937" s="2" t="n"/>
    </x:row>
    <x:row r="938" s="71" customFormat="1" ht="14.25" customHeight="1">
      <x:c r="A938" s="3" t="n"/>
      <x:c r="B938" s="3" t="n"/>
      <x:c r="D938" s="2" t="n"/>
    </x:row>
    <x:row r="939" s="71" customFormat="1" ht="14.25" customHeight="1">
      <x:c r="A939" s="3" t="n"/>
      <x:c r="B939" s="3" t="n"/>
      <x:c r="D939" s="2" t="n"/>
    </x:row>
    <x:row r="940" s="71" customFormat="1" ht="14.25" customHeight="1">
      <x:c r="A940" s="3" t="n"/>
      <x:c r="B940" s="3" t="n"/>
      <x:c r="D940" s="2" t="n"/>
    </x:row>
    <x:row r="941" s="71" customFormat="1" ht="14.25" customHeight="1">
      <x:c r="A941" s="3" t="n"/>
      <x:c r="B941" s="3" t="n"/>
      <x:c r="D941" s="2" t="n"/>
    </x:row>
    <x:row r="942" s="71" customFormat="1" ht="14.25" customHeight="1">
      <x:c r="A942" s="3" t="n"/>
      <x:c r="B942" s="3" t="n"/>
      <x:c r="D942" s="2" t="n"/>
    </x:row>
    <x:row r="943" s="71" customFormat="1" ht="14.25" customHeight="1">
      <x:c r="A943" s="3" t="n"/>
      <x:c r="B943" s="3" t="n"/>
      <x:c r="D943" s="2" t="n"/>
    </x:row>
    <x:row r="944" s="71" customFormat="1" ht="14.25" customHeight="1">
      <x:c r="A944" s="3" t="n"/>
      <x:c r="B944" s="3" t="n"/>
      <x:c r="D944" s="2" t="n"/>
    </x:row>
    <x:row r="945" s="71" customFormat="1" ht="14.25" customHeight="1">
      <x:c r="A945" s="3" t="n"/>
      <x:c r="B945" s="3" t="n"/>
      <x:c r="D945" s="2" t="n"/>
    </x:row>
    <x:row r="946" s="71" customFormat="1" ht="14.25" customHeight="1">
      <x:c r="A946" s="3" t="n"/>
      <x:c r="B946" s="3" t="n"/>
      <x:c r="D946" s="2" t="n"/>
    </x:row>
    <x:row r="947" s="71" customFormat="1" ht="14.25" customHeight="1">
      <x:c r="A947" s="3" t="n"/>
      <x:c r="B947" s="3" t="n"/>
      <x:c r="D947" s="2" t="n"/>
    </x:row>
    <x:row r="948" s="71" customFormat="1" ht="14.25" customHeight="1">
      <x:c r="A948" s="3" t="n"/>
      <x:c r="B948" s="3" t="n"/>
      <x:c r="D948" s="2" t="n"/>
    </x:row>
    <x:row r="949" s="71" customFormat="1" ht="14.25" customHeight="1">
      <x:c r="A949" s="3" t="n"/>
      <x:c r="B949" s="3" t="n"/>
      <x:c r="D949" s="2" t="n"/>
    </x:row>
    <x:row r="950" s="71" customFormat="1" ht="14.25" customHeight="1">
      <x:c r="A950" s="3" t="n"/>
      <x:c r="B950" s="3" t="n"/>
      <x:c r="D950" s="2" t="n"/>
    </x:row>
    <x:row r="951" s="71" customFormat="1" ht="14.25" customHeight="1">
      <x:c r="A951" s="3" t="n"/>
      <x:c r="B951" s="3" t="n"/>
      <x:c r="D951" s="2" t="n"/>
    </x:row>
    <x:row r="952" s="71" customFormat="1" ht="14.25" customHeight="1">
      <x:c r="A952" s="3" t="n"/>
      <x:c r="B952" s="3" t="n"/>
      <x:c r="D952" s="2" t="n"/>
    </x:row>
    <x:row r="953" s="71" customFormat="1" ht="14.25" customHeight="1">
      <x:c r="A953" s="3" t="n"/>
      <x:c r="B953" s="3" t="n"/>
      <x:c r="D953" s="2" t="n"/>
    </x:row>
    <x:row r="954" s="71" customFormat="1" ht="14.25" customHeight="1">
      <x:c r="A954" s="3" t="n"/>
      <x:c r="B954" s="3" t="n"/>
      <x:c r="D954" s="2" t="n"/>
    </x:row>
    <x:row r="955" s="71" customFormat="1" ht="14.25" customHeight="1">
      <x:c r="A955" s="3" t="n"/>
      <x:c r="B955" s="3" t="n"/>
      <x:c r="D955" s="2" t="n"/>
    </x:row>
    <x:row r="956" s="71" customFormat="1" ht="14.25" customHeight="1">
      <x:c r="A956" s="3" t="n"/>
      <x:c r="B956" s="3" t="n"/>
      <x:c r="D956" s="2" t="n"/>
    </x:row>
    <x:row r="957" s="71" customFormat="1" ht="14.25" customHeight="1">
      <x:c r="A957" s="3" t="n"/>
      <x:c r="B957" s="3" t="n"/>
      <x:c r="D957" s="2" t="n"/>
    </x:row>
    <x:row r="958" s="71" customFormat="1" ht="14.25" customHeight="1">
      <x:c r="A958" s="3" t="n"/>
      <x:c r="B958" s="3" t="n"/>
      <x:c r="D958" s="2" t="n"/>
    </x:row>
    <x:row r="959" s="71" customFormat="1" ht="14.25" customHeight="1">
      <x:c r="A959" s="3" t="n"/>
      <x:c r="B959" s="3" t="n"/>
      <x:c r="D959" s="2" t="n"/>
    </x:row>
    <x:row r="960" s="71" customFormat="1" ht="14.25" customHeight="1">
      <x:c r="A960" s="3" t="n"/>
      <x:c r="B960" s="3" t="n"/>
      <x:c r="D960" s="2" t="n"/>
    </x:row>
    <x:row r="961" s="71" customFormat="1" ht="14.25" customHeight="1">
      <x:c r="A961" s="3" t="n"/>
      <x:c r="B961" s="3" t="n"/>
      <x:c r="D961" s="2" t="n"/>
    </x:row>
    <x:row r="962" s="71" customFormat="1" ht="14.25" customHeight="1">
      <x:c r="A962" s="3" t="n"/>
      <x:c r="B962" s="3" t="n"/>
      <x:c r="D962" s="2" t="n"/>
    </x:row>
    <x:row r="963" s="71" customFormat="1" ht="14.25" customHeight="1">
      <x:c r="A963" s="3" t="n"/>
      <x:c r="B963" s="3" t="n"/>
      <x:c r="D963" s="2" t="n"/>
    </x:row>
    <x:row r="964" s="71" customFormat="1" ht="14.25" customHeight="1">
      <x:c r="A964" s="3" t="n"/>
      <x:c r="B964" s="3" t="n"/>
      <x:c r="D964" s="2" t="n"/>
    </x:row>
    <x:row r="965" s="71" customFormat="1" ht="14.25" customHeight="1">
      <x:c r="A965" s="3" t="n"/>
      <x:c r="B965" s="3" t="n"/>
      <x:c r="D965" s="2" t="n"/>
    </x:row>
    <x:row r="966" s="71" customFormat="1" ht="14.25" customHeight="1">
      <x:c r="A966" s="3" t="n"/>
      <x:c r="B966" s="3" t="n"/>
      <x:c r="D966" s="2" t="n"/>
    </x:row>
    <x:row r="967" s="71" customFormat="1" ht="14.25" customHeight="1">
      <x:c r="A967" s="3" t="n"/>
      <x:c r="B967" s="3" t="n"/>
      <x:c r="D967" s="2" t="n"/>
    </x:row>
    <x:row r="968" s="71" customFormat="1" ht="14.25" customHeight="1">
      <x:c r="A968" s="3" t="n"/>
      <x:c r="B968" s="3" t="n"/>
      <x:c r="D968" s="2" t="n"/>
    </x:row>
    <x:row r="969" s="71" customFormat="1" ht="14.25" customHeight="1">
      <x:c r="A969" s="3" t="n"/>
      <x:c r="B969" s="3" t="n"/>
      <x:c r="D969" s="2" t="n"/>
    </x:row>
    <x:row r="970" s="71" customFormat="1" ht="14.25" customHeight="1">
      <x:c r="A970" s="3" t="n"/>
      <x:c r="B970" s="3" t="n"/>
      <x:c r="D970" s="2" t="n"/>
    </x:row>
    <x:row r="971" s="71" customFormat="1" ht="14.25" customHeight="1">
      <x:c r="A971" s="3" t="n"/>
      <x:c r="B971" s="3" t="n"/>
      <x:c r="D971" s="2" t="n"/>
    </x:row>
    <x:row r="972" s="71" customFormat="1" ht="14.25" customHeight="1">
      <x:c r="A972" s="3" t="n"/>
      <x:c r="B972" s="3" t="n"/>
      <x:c r="D972" s="2" t="n"/>
    </x:row>
    <x:row r="973" s="71" customFormat="1" ht="14.25" customHeight="1">
      <x:c r="A973" s="3" t="n"/>
      <x:c r="B973" s="3" t="n"/>
      <x:c r="D973" s="2" t="n"/>
    </x:row>
    <x:row r="974" s="71" customFormat="1" ht="14.25" customHeight="1">
      <x:c r="A974" s="3" t="n"/>
      <x:c r="B974" s="3" t="n"/>
      <x:c r="D974" s="2" t="n"/>
    </x:row>
    <x:row r="975" s="71" customFormat="1" ht="14.25" customHeight="1">
      <x:c r="A975" s="3" t="n"/>
      <x:c r="B975" s="3" t="n"/>
      <x:c r="D975" s="2" t="n"/>
    </x:row>
    <x:row r="976" s="71" customFormat="1" ht="14.25" customHeight="1">
      <x:c r="A976" s="3" t="n"/>
      <x:c r="B976" s="3" t="n"/>
      <x:c r="D976" s="2" t="n"/>
    </x:row>
    <x:row r="977" s="71" customFormat="1" ht="14.25" customHeight="1">
      <x:c r="A977" s="3" t="n"/>
      <x:c r="B977" s="3" t="n"/>
      <x:c r="D977" s="2" t="n"/>
    </x:row>
    <x:row r="978" s="71" customFormat="1" ht="14.25" customHeight="1">
      <x:c r="A978" s="3" t="n"/>
      <x:c r="B978" s="3" t="n"/>
      <x:c r="D978" s="2" t="n"/>
    </x:row>
    <x:row r="979" s="71" customFormat="1" ht="14.25" customHeight="1">
      <x:c r="A979" s="3" t="n"/>
      <x:c r="B979" s="3" t="n"/>
      <x:c r="D979" s="2" t="n"/>
    </x:row>
    <x:row r="980" s="71" customFormat="1" ht="14.25" customHeight="1">
      <x:c r="A980" s="3" t="n"/>
      <x:c r="B980" s="3" t="n"/>
      <x:c r="D980" s="2" t="n"/>
    </x:row>
    <x:row r="981" s="71" customFormat="1" ht="14.25" customHeight="1">
      <x:c r="A981" s="3" t="n"/>
      <x:c r="B981" s="3" t="n"/>
      <x:c r="D981" s="2" t="n"/>
    </x:row>
    <x:row r="982" s="71" customFormat="1" ht="14.25" customHeight="1">
      <x:c r="A982" s="3" t="n"/>
      <x:c r="B982" s="3" t="n"/>
      <x:c r="D982" s="2" t="n"/>
    </x:row>
    <x:row r="983" s="71" customFormat="1" ht="14.25" customHeight="1">
      <x:c r="A983" s="3" t="n"/>
      <x:c r="B983" s="3" t="n"/>
      <x:c r="D983" s="2" t="n"/>
    </x:row>
    <x:row r="984" s="71" customFormat="1" ht="14.25" customHeight="1">
      <x:c r="A984" s="3" t="n"/>
      <x:c r="B984" s="3" t="n"/>
      <x:c r="D984" s="2" t="n"/>
    </x:row>
    <x:row r="985" s="71" customFormat="1" ht="14.25" customHeight="1">
      <x:c r="A985" s="3" t="n"/>
      <x:c r="B985" s="3" t="n"/>
      <x:c r="D985" s="2" t="n"/>
    </x:row>
    <x:row r="986" s="71" customFormat="1" ht="14.25" customHeight="1">
      <x:c r="A986" s="3" t="n"/>
      <x:c r="B986" s="3" t="n"/>
      <x:c r="D986" s="2" t="n"/>
    </x:row>
    <x:row r="987" s="71" customFormat="1" ht="14.25" customHeight="1">
      <x:c r="A987" s="3" t="n"/>
      <x:c r="B987" s="3" t="n"/>
      <x:c r="D987" s="2" t="n"/>
    </x:row>
    <x:row r="988" s="71" customFormat="1" ht="14.25" customHeight="1">
      <x:c r="A988" s="3" t="n"/>
      <x:c r="B988" s="3" t="n"/>
      <x:c r="D988" s="2" t="n"/>
    </x:row>
    <x:row r="989" s="71" customFormat="1" ht="14.25" customHeight="1">
      <x:c r="A989" s="3" t="n"/>
      <x:c r="B989" s="3" t="n"/>
      <x:c r="D989" s="2" t="n"/>
    </x:row>
    <x:row r="990" s="71" customFormat="1" ht="14.25" customHeight="1">
      <x:c r="A990" s="3" t="n"/>
      <x:c r="B990" s="3" t="n"/>
      <x:c r="D990" s="2" t="n"/>
    </x:row>
    <x:row r="991" s="71" customFormat="1" ht="14.25" customHeight="1">
      <x:c r="A991" s="3" t="n"/>
      <x:c r="B991" s="3" t="n"/>
      <x:c r="D991" s="2" t="n"/>
    </x:row>
    <x:row r="992" s="71" customFormat="1" ht="14.25" customHeight="1">
      <x:c r="A992" s="3" t="n"/>
      <x:c r="B992" s="3" t="n"/>
      <x:c r="D992" s="2" t="n"/>
    </x:row>
    <x:row r="993" s="71" customFormat="1" ht="14.25" customHeight="1">
      <x:c r="A993" s="3" t="n"/>
      <x:c r="B993" s="3" t="n"/>
      <x:c r="D993" s="2" t="n"/>
    </x:row>
    <x:row r="994" s="71" customFormat="1" ht="14.25" customHeight="1">
      <x:c r="A994" s="3" t="n"/>
      <x:c r="B994" s="3" t="n"/>
      <x:c r="D994" s="2" t="n"/>
    </x:row>
    <x:row r="995" s="71" customFormat="1" ht="14.25" customHeight="1">
      <x:c r="A995" s="3" t="n"/>
      <x:c r="B995" s="3" t="n"/>
      <x:c r="D995" s="2" t="n"/>
    </x:row>
    <x:row r="996" s="71" customFormat="1" ht="14.25" customHeight="1">
      <x:c r="A996" s="3" t="n"/>
      <x:c r="B996" s="3" t="n"/>
      <x:c r="D996" s="2" t="n"/>
    </x:row>
    <x:row r="997" s="71" customFormat="1" ht="14.25" customHeight="1">
      <x:c r="A997" s="3" t="n"/>
      <x:c r="B997" s="3" t="n"/>
      <x:c r="D997" s="2" t="n"/>
    </x:row>
    <x:row r="998" s="71" customFormat="1" ht="14.25" customHeight="1">
      <x:c r="A998" s="3" t="n"/>
      <x:c r="B998" s="3" t="n"/>
      <x:c r="D998" s="2" t="n"/>
    </x:row>
    <x:row r="999" s="71" customFormat="1" ht="14.25" customHeight="1">
      <x:c r="A999" s="3" t="n"/>
      <x:c r="B999" s="3" t="n"/>
      <x:c r="D999" s="2" t="n"/>
    </x:row>
    <x:row r="1000" s="71" customFormat="1" ht="14.25" customHeight="1">
      <x:c r="A1000" s="3" t="n"/>
      <x:c r="B1000" s="3" t="n"/>
      <x:c r="D1000" s="2" t="n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4.44140625" defaultRowHeight="14.399999618530273"/>
  <x:cols>
    <x:col min="1" max="1" width="10.5546875" style="71" customWidth="1"/>
    <x:col min="2" max="2" width="29" style="71" customWidth="1"/>
  </x:cols>
  <x:sheetData>
    <x:row r="1" s="62" customFormat="1">
      <x:c r="A1" s="59" t="inlineStr">
        <x:is>
          <x:t xml:space="preserve">Emp ID</x:t>
        </x:is>
      </x:c>
      <x:c r="B1" s="59" t="inlineStr">
        <x:is>
          <x:t xml:space="preserve">Employee Name</x:t>
        </x:is>
      </x:c>
      <x:c r="C1" s="62" t="inlineStr">
        <x:is>
          <x:t xml:space="preserve">Position</x:t>
        </x:is>
      </x:c>
      <x:c r="D1" s="62" t="inlineStr">
        <x:is>
          <x:t xml:space="preserve">Salary</x:t>
        </x:is>
      </x:c>
      <x:c r="E1" s="62" t="inlineStr">
        <x:is>
          <x:t xml:space="preserve">Status</x:t>
        </x:is>
      </x:c>
      <x:c r="F1" s="62" t="inlineStr">
        <x:is>
          <x:t xml:space="preserve">Site Location</x:t>
        </x:is>
      </x:c>
      <x:c r="G1" s="62" t="inlineStr">
        <x:is>
          <x:t xml:space="preserve">Department Name</x:t>
        </x:is>
      </x:c>
      <x:c r="H1" s="63" t="inlineStr">
        <x:is>
          <x:t xml:space="preserve">Department Code</x:t>
        </x:is>
      </x:c>
      <x:c r="I1" s="62" t="inlineStr">
        <x:is>
          <x:t xml:space="preserve">Email</x:t>
        </x:is>
      </x:c>
      <x:c r="J1" t="inlineStr">
        <x:is>
          <x:t xml:space="preserve">Bank Account Number</x:t>
        </x:is>
      </x:c>
      <x:c r="K1" t="inlineStr">
        <x:is>
          <x:t xml:space="preserve">Salary Type</x:t>
        </x:is>
      </x:c>
      <x:c r="L1" t="inlineStr">
        <x:is>
          <x:t xml:space="preserve">Sub Department</x:t>
        </x:is>
      </x:c>
      <x:c r="M1" t="inlineStr">
        <x:is>
          <x:t xml:space="preserve">Class</x:t>
        </x:is>
      </x:c>
      <x:c r="N1" t="inlineStr">
        <x:is>
          <x:t xml:space="preserve">L1 Head</x:t>
        </x:is>
      </x:c>
      <x:c r="O1" t="inlineStr">
        <x:is>
          <x:t xml:space="preserve">L2 Head</x:t>
        </x:is>
      </x:c>
      <x:c r="P1" t="inlineStr">
        <x:is>
          <x:t xml:space="preserve">Contact Number</x:t>
        </x:is>
      </x:c>
      <x:c r="Q1" t="inlineStr">
        <x:is>
          <x:t xml:space="preserve">Hire Date</x:t>
        </x:is>
      </x:c>
    </x:row>
    <x:row r="2">
      <x:c r="A2" s="10" t="inlineStr">
        <x:is>
          <x:t xml:space="preserve">01100240</x:t>
        </x:is>
      </x:c>
      <x:c r="B2" s="10" t="inlineStr">
        <x:is>
          <x:t xml:space="preserve">Abegail Mandras</x:t>
        </x:is>
      </x:c>
      <x:c r="C2" s="6" t="inlineStr">
        <x:is>
          <x:t xml:space="preserve">Technical Support Representative</x:t>
        </x:is>
      </x:c>
      <x:c r="D2" s="77" t="n">
        <x:v>14500</x:v>
      </x:c>
      <x:c r="E2" t="inlineStr">
        <x:is>
          <x:t xml:space="preserve">Contractual</x:t>
        </x:is>
      </x:c>
      <x:c r="F2" t="inlineStr">
        <x:is>
          <x:t xml:space="preserve">Lapu-Lapu City</x:t>
        </x:is>
      </x:c>
      <x:c r="G2" t="inlineStr">
        <x:is>
          <x:t xml:space="preserve">Human Resources</x:t>
        </x:is>
      </x:c>
      <x:c r="H2" t="inlineStr">
        <x:is>
          <x:t xml:space="preserve">HR</x:t>
        </x:is>
      </x:c>
      <x:c r="J2" t="inlineStr">
        <x:is>
          <x:t xml:space="preserve">UNIONBANK-586234137225</x:t>
        </x:is>
      </x:c>
      <x:c r="K2" t="inlineStr">
        <x:is>
          <x:t xml:space="preserve">Salaried</x:t>
        </x:is>
      </x:c>
      <x:c r="L2" t="inlineStr">
        <x:is>
          <x:t xml:space="preserve">General</x:t>
        </x:is>
      </x:c>
      <x:c r="M2" t="inlineStr">
        <x:is>
          <x:t xml:space="preserve">B</x:t>
        </x:is>
      </x:c>
      <x:c r="N2" t="inlineStr">
        <x:is>
          <x:t xml:space="preserve">Manager</x:t>
        </x:is>
      </x:c>
      <x:c r="O2" t="inlineStr">
        <x:is>
          <x:t xml:space="preserve">Director</x:t>
        </x:is>
      </x:c>
      <x:c r="P2" t="inlineStr">
        <x:is>
          <x:t xml:space="preserve">+639320562110</x:t>
        </x:is>
      </x:c>
      <x:c r="Q2" t="inlineStr">
        <x:is>
          <x:t xml:space="preserve">2024-01-15</x:t>
        </x:is>
      </x:c>
    </x:row>
    <x:row r="3">
      <x:c r="A3" s="10" t="inlineStr">
        <x:is>
          <x:t xml:space="preserve">01100277</x:t>
        </x:is>
      </x:c>
      <x:c r="B3" s="10" t="inlineStr">
        <x:is>
          <x:t xml:space="preserve">Adrian Lawat</x:t>
        </x:is>
      </x:c>
      <x:c r="C3" s="6" t="inlineStr">
        <x:is>
          <x:t xml:space="preserve">Payroll Assistant</x:t>
        </x:is>
      </x:c>
      <x:c r="D3" s="77" t="n">
        <x:v>15500</x:v>
      </x:c>
      <x:c r="E3" t="inlineStr">
        <x:is>
          <x:t xml:space="preserve">Contractual</x:t>
        </x:is>
      </x:c>
      <x:c r="F3" t="inlineStr">
        <x:is>
          <x:t xml:space="preserve">Cebu City</x:t>
        </x:is>
      </x:c>
      <x:c r="G3" t="inlineStr">
        <x:is>
          <x:t xml:space="preserve">Quality Assurance</x:t>
        </x:is>
      </x:c>
      <x:c r="H3" t="inlineStr">
        <x:is>
          <x:t xml:space="preserve">QA</x:t>
        </x:is>
      </x:c>
      <x:c r="J3" t="inlineStr">
        <x:is>
          <x:t xml:space="preserve">UNIONBANK-124573808728</x:t>
        </x:is>
      </x:c>
      <x:c r="K3" t="inlineStr">
        <x:is>
          <x:t xml:space="preserve">Salaried</x:t>
        </x:is>
      </x:c>
      <x:c r="L3" t="inlineStr">
        <x:is>
          <x:t xml:space="preserve">General</x:t>
        </x:is>
      </x:c>
      <x:c r="M3" t="inlineStr">
        <x:is>
          <x:t xml:space="preserve">A</x:t>
        </x:is>
      </x:c>
      <x:c r="N3" t="inlineStr">
        <x:is>
          <x:t xml:space="preserve">Manager</x:t>
        </x:is>
      </x:c>
      <x:c r="O3" t="inlineStr">
        <x:is>
          <x:t xml:space="preserve">Director</x:t>
        </x:is>
      </x:c>
      <x:c r="P3" t="inlineStr">
        <x:is>
          <x:t xml:space="preserve">+639123993344</x:t>
        </x:is>
      </x:c>
      <x:c r="Q3" t="inlineStr">
        <x:is>
          <x:t xml:space="preserve">2024-01-15</x:t>
        </x:is>
      </x:c>
    </x:row>
    <x:row r="4">
      <x:c r="A4" s="10" t="inlineStr">
        <x:is>
          <x:t xml:space="preserve">02100100</x:t>
        </x:is>
      </x:c>
      <x:c r="B4" s="10" t="inlineStr">
        <x:is>
          <x:t xml:space="preserve">Aillen Joy Largo</x:t>
        </x:is>
      </x:c>
      <x:c r="C4" s="6" t="inlineStr">
        <x:is>
          <x:t xml:space="preserve">IT Support Staff</x:t>
        </x:is>
      </x:c>
      <x:c r="D4" s="77" t="n">
        <x:v>15000</x:v>
      </x:c>
      <x:c r="E4" t="inlineStr">
        <x:is>
          <x:t xml:space="preserve">Contractual</x:t>
        </x:is>
      </x:c>
      <x:c r="F4" t="inlineStr">
        <x:is>
          <x:t xml:space="preserve">Talisay City</x:t>
        </x:is>
      </x:c>
      <x:c r="G4" t="inlineStr">
        <x:is>
          <x:t xml:space="preserve">Operations</x:t>
        </x:is>
      </x:c>
      <x:c r="H4" t="inlineStr">
        <x:is>
          <x:t xml:space="preserve">OPS</x:t>
        </x:is>
      </x:c>
      <x:c r="J4" t="inlineStr">
        <x:is>
          <x:t xml:space="preserve">UNIONBANK-782091969149</x:t>
        </x:is>
      </x:c>
      <x:c r="K4" t="inlineStr">
        <x:is>
          <x:t xml:space="preserve">Salaried</x:t>
        </x:is>
      </x:c>
      <x:c r="L4" t="inlineStr">
        <x:is>
          <x:t xml:space="preserve">General</x:t>
        </x:is>
      </x:c>
      <x:c r="M4" t="inlineStr">
        <x:is>
          <x:t xml:space="preserve">A</x:t>
        </x:is>
      </x:c>
      <x:c r="N4" t="inlineStr">
        <x:is>
          <x:t xml:space="preserve">Manager</x:t>
        </x:is>
      </x:c>
      <x:c r="O4" t="inlineStr">
        <x:is>
          <x:t xml:space="preserve">Director</x:t>
        </x:is>
      </x:c>
      <x:c r="P4" t="inlineStr">
        <x:is>
          <x:t xml:space="preserve">+639728787901</x:t>
        </x:is>
      </x:c>
      <x:c r="Q4" t="inlineStr">
        <x:is>
          <x:t xml:space="preserve">2024-01-15</x:t>
        </x:is>
      </x:c>
    </x:row>
    <x:row r="5">
      <x:c r="A5" s="10" t="inlineStr">
        <x:is>
          <x:t xml:space="preserve">01100328</x:t>
        </x:is>
      </x:c>
      <x:c r="B5" s="10" t="inlineStr">
        <x:is>
          <x:t xml:space="preserve">Al Mario Bahala</x:t>
        </x:is>
      </x:c>
      <x:c r="C5" s="6" t="inlineStr">
        <x:is>
          <x:t xml:space="preserve">Customer Service Representative</x:t>
        </x:is>
      </x:c>
      <x:c r="D5" s="77" t="n">
        <x:v>15000</x:v>
      </x:c>
      <x:c r="E5" t="inlineStr">
        <x:is>
          <x:t xml:space="preserve">Regular</x:t>
        </x:is>
      </x:c>
      <x:c r="F5" t="inlineStr">
        <x:is>
          <x:t xml:space="preserve">Mandaue City</x:t>
        </x:is>
      </x:c>
      <x:c r="G5" t="inlineStr">
        <x:is>
          <x:t xml:space="preserve">Administration</x:t>
        </x:is>
      </x:c>
      <x:c r="H5" t="inlineStr">
        <x:is>
          <x:t xml:space="preserve">ADM</x:t>
        </x:is>
      </x:c>
      <x:c r="J5" t="inlineStr">
        <x:is>
          <x:t xml:space="preserve">UNIONBANK-726415466651</x:t>
        </x:is>
      </x:c>
      <x:c r="K5" t="inlineStr">
        <x:is>
          <x:t xml:space="preserve">Salaried</x:t>
        </x:is>
      </x:c>
      <x:c r="L5" t="inlineStr">
        <x:is>
          <x:t xml:space="preserve">General</x:t>
        </x:is>
      </x:c>
      <x:c r="M5" t="inlineStr">
        <x:is>
          <x:t xml:space="preserve">C</x:t>
        </x:is>
      </x:c>
      <x:c r="N5" t="inlineStr">
        <x:is>
          <x:t xml:space="preserve">Manager</x:t>
        </x:is>
      </x:c>
      <x:c r="O5" t="inlineStr">
        <x:is>
          <x:t xml:space="preserve">Director</x:t>
        </x:is>
      </x:c>
      <x:c r="P5" t="inlineStr">
        <x:is>
          <x:t xml:space="preserve">+639705695092</x:t>
        </x:is>
      </x:c>
      <x:c r="Q5" t="inlineStr">
        <x:is>
          <x:t xml:space="preserve">2024-01-15</x:t>
        </x:is>
      </x:c>
    </x:row>
    <x:row r="6">
      <x:c r="A6" s="10" t="inlineStr">
        <x:is>
          <x:t xml:space="preserve">02100334</x:t>
        </x:is>
      </x:c>
      <x:c r="B6" s="10" t="inlineStr">
        <x:is>
          <x:t xml:space="preserve">Alvin Lozada</x:t>
        </x:is>
      </x:c>
      <x:c r="C6" s="6" t="inlineStr">
        <x:is>
          <x:t xml:space="preserve">Operations Assistant</x:t>
        </x:is>
      </x:c>
      <x:c r="D6" s="77" t="n">
        <x:v>14500</x:v>
      </x:c>
      <x:c r="E6" t="inlineStr">
        <x:is>
          <x:t xml:space="preserve">Contractual</x:t>
        </x:is>
      </x:c>
      <x:c r="F6" t="inlineStr">
        <x:is>
          <x:t xml:space="preserve">Mandaue City</x:t>
        </x:is>
      </x:c>
      <x:c r="G6" t="inlineStr">
        <x:is>
          <x:t xml:space="preserve">Quality Assurance</x:t>
        </x:is>
      </x:c>
      <x:c r="H6" t="inlineStr">
        <x:is>
          <x:t xml:space="preserve">QA</x:t>
        </x:is>
      </x:c>
      <x:c r="J6" t="inlineStr">
        <x:is>
          <x:t xml:space="preserve">UNIONBANK-854783193075</x:t>
        </x:is>
      </x:c>
      <x:c r="K6" t="inlineStr">
        <x:is>
          <x:t xml:space="preserve">Salaried</x:t>
        </x:is>
      </x:c>
      <x:c r="L6" t="inlineStr">
        <x:is>
          <x:t xml:space="preserve">General</x:t>
        </x:is>
      </x:c>
      <x:c r="M6" t="inlineStr">
        <x:is>
          <x:t xml:space="preserve">B</x:t>
        </x:is>
      </x:c>
      <x:c r="N6" t="inlineStr">
        <x:is>
          <x:t xml:space="preserve">Manager</x:t>
        </x:is>
      </x:c>
      <x:c r="O6" t="inlineStr">
        <x:is>
          <x:t xml:space="preserve">Director</x:t>
        </x:is>
      </x:c>
      <x:c r="P6" t="inlineStr">
        <x:is>
          <x:t xml:space="preserve">+639862404942</x:t>
        </x:is>
      </x:c>
      <x:c r="Q6" t="inlineStr">
        <x:is>
          <x:t xml:space="preserve">2024-01-15</x:t>
        </x:is>
      </x:c>
    </x:row>
    <x:row r="7">
      <x:c r="A7" s="10" t="inlineStr">
        <x:is>
          <x:t xml:space="preserve">01100101</x:t>
        </x:is>
      </x:c>
      <x:c r="B7" s="10" t="inlineStr">
        <x:is>
          <x:t xml:space="preserve">Andrea Ceniza</x:t>
        </x:is>
      </x:c>
      <x:c r="C7" s="6" t="inlineStr">
        <x:is>
          <x:t xml:space="preserve">IT Support Staff</x:t>
        </x:is>
      </x:c>
      <x:c r="D7" s="77" t="n">
        <x:v>17500</x:v>
      </x:c>
      <x:c r="E7" t="inlineStr">
        <x:is>
          <x:t xml:space="preserve">Regular</x:t>
        </x:is>
      </x:c>
      <x:c r="F7" t="inlineStr">
        <x:is>
          <x:t xml:space="preserve">Talisay City</x:t>
        </x:is>
      </x:c>
      <x:c r="G7" t="inlineStr">
        <x:is>
          <x:t xml:space="preserve">Administration</x:t>
        </x:is>
      </x:c>
      <x:c r="H7" t="inlineStr">
        <x:is>
          <x:t xml:space="preserve">ADM</x:t>
        </x:is>
      </x:c>
      <x:c r="J7" t="inlineStr">
        <x:is>
          <x:t xml:space="preserve">UNIONBANK-928720143568</x:t>
        </x:is>
      </x:c>
      <x:c r="K7" t="inlineStr">
        <x:is>
          <x:t xml:space="preserve">Salaried</x:t>
        </x:is>
      </x:c>
      <x:c r="L7" t="inlineStr">
        <x:is>
          <x:t xml:space="preserve">General</x:t>
        </x:is>
      </x:c>
      <x:c r="M7" t="inlineStr">
        <x:is>
          <x:t xml:space="preserve">A</x:t>
        </x:is>
      </x:c>
      <x:c r="N7" t="inlineStr">
        <x:is>
          <x:t xml:space="preserve">Manager</x:t>
        </x:is>
      </x:c>
      <x:c r="O7" t="inlineStr">
        <x:is>
          <x:t xml:space="preserve">Director</x:t>
        </x:is>
      </x:c>
      <x:c r="P7" t="inlineStr">
        <x:is>
          <x:t xml:space="preserve">+639602846081</x:t>
        </x:is>
      </x:c>
      <x:c r="Q7" t="inlineStr">
        <x:is>
          <x:t xml:space="preserve">2024-01-15</x:t>
        </x:is>
      </x:c>
    </x:row>
    <x:row r="8">
      <x:c r="A8" s="10" t="inlineStr">
        <x:is>
          <x:t xml:space="preserve">02100103</x:t>
        </x:is>
      </x:c>
      <x:c r="B8" s="10" t="inlineStr">
        <x:is>
          <x:t xml:space="preserve">Angelica Paligsa</x:t>
        </x:is>
      </x:c>
      <x:c r="C8" s="6" t="inlineStr">
        <x:is>
          <x:t xml:space="preserve">HR Assistant</x:t>
        </x:is>
      </x:c>
      <x:c r="D8" s="77" t="n">
        <x:v>21000</x:v>
      </x:c>
      <x:c r="E8" t="inlineStr">
        <x:is>
          <x:t xml:space="preserve">Regular</x:t>
        </x:is>
      </x:c>
      <x:c r="F8" t="inlineStr">
        <x:is>
          <x:t xml:space="preserve">Mandaue City</x:t>
        </x:is>
      </x:c>
      <x:c r="G8" t="inlineStr">
        <x:is>
          <x:t xml:space="preserve">Quality Assurance</x:t>
        </x:is>
      </x:c>
      <x:c r="H8" t="inlineStr">
        <x:is>
          <x:t xml:space="preserve">QA</x:t>
        </x:is>
      </x:c>
      <x:c r="J8" t="inlineStr">
        <x:is>
          <x:t xml:space="preserve">UNIONBANK-183232246412</x:t>
        </x:is>
      </x:c>
      <x:c r="K8" t="inlineStr">
        <x:is>
          <x:t xml:space="preserve">Salaried</x:t>
        </x:is>
      </x:c>
      <x:c r="L8" t="inlineStr">
        <x:is>
          <x:t xml:space="preserve">General</x:t>
        </x:is>
      </x:c>
      <x:c r="M8" t="inlineStr">
        <x:is>
          <x:t xml:space="preserve">C</x:t>
        </x:is>
      </x:c>
      <x:c r="N8" t="inlineStr">
        <x:is>
          <x:t xml:space="preserve">Manager</x:t>
        </x:is>
      </x:c>
      <x:c r="O8" t="inlineStr">
        <x:is>
          <x:t xml:space="preserve">Director</x:t>
        </x:is>
      </x:c>
      <x:c r="P8" t="inlineStr">
        <x:is>
          <x:t xml:space="preserve">+639989346380</x:t>
        </x:is>
      </x:c>
      <x:c r="Q8" t="inlineStr">
        <x:is>
          <x:t xml:space="preserve">2024-01-15</x:t>
        </x:is>
      </x:c>
    </x:row>
    <x:row r="9">
      <x:c r="A9" s="10" t="inlineStr">
        <x:is>
          <x:t xml:space="preserve">02100104</x:t>
        </x:is>
      </x:c>
      <x:c r="B9" s="10" t="inlineStr">
        <x:is>
          <x:t xml:space="preserve">Ann Lou Minguito</x:t>
        </x:is>
      </x:c>
      <x:c r="C9" s="6" t="inlineStr">
        <x:is>
          <x:t xml:space="preserve">QA Analyst</x:t>
        </x:is>
      </x:c>
      <x:c r="D9" s="77" t="n">
        <x:v>17000</x:v>
      </x:c>
      <x:c r="E9" t="inlineStr">
        <x:is>
          <x:t xml:space="preserve">Probationary</x:t>
        </x:is>
      </x:c>
      <x:c r="F9" t="inlineStr">
        <x:is>
          <x:t xml:space="preserve">Mandaue City</x:t>
        </x:is>
      </x:c>
      <x:c r="G9" t="inlineStr">
        <x:is>
          <x:t xml:space="preserve">Human Resources</x:t>
        </x:is>
      </x:c>
      <x:c r="H9" t="inlineStr">
        <x:is>
          <x:t xml:space="preserve">HR</x:t>
        </x:is>
      </x:c>
      <x:c r="J9" t="inlineStr">
        <x:is>
          <x:t xml:space="preserve">UNIONBANK-336428388062</x:t>
        </x:is>
      </x:c>
      <x:c r="K9" t="inlineStr">
        <x:is>
          <x:t xml:space="preserve">Salaried</x:t>
        </x:is>
      </x:c>
      <x:c r="L9" t="inlineStr">
        <x:is>
          <x:t xml:space="preserve">General</x:t>
        </x:is>
      </x:c>
      <x:c r="M9" t="inlineStr">
        <x:is>
          <x:t xml:space="preserve">B</x:t>
        </x:is>
      </x:c>
      <x:c r="N9" t="inlineStr">
        <x:is>
          <x:t xml:space="preserve">Manager</x:t>
        </x:is>
      </x:c>
      <x:c r="O9" t="inlineStr">
        <x:is>
          <x:t xml:space="preserve">Director</x:t>
        </x:is>
      </x:c>
      <x:c r="P9" t="inlineStr">
        <x:is>
          <x:t xml:space="preserve">+639660970056</x:t>
        </x:is>
      </x:c>
      <x:c r="Q9" t="inlineStr">
        <x:is>
          <x:t xml:space="preserve">2024-01-15</x:t>
        </x:is>
      </x:c>
    </x:row>
    <x:row r="10">
      <x:c r="A10" s="10" t="inlineStr">
        <x:is>
          <x:t xml:space="preserve">02200105</x:t>
        </x:is>
      </x:c>
      <x:c r="B10" s="10" t="inlineStr">
        <x:is>
          <x:t xml:space="preserve">Anna Marie Tabares</x:t>
        </x:is>
      </x:c>
      <x:c r="C10" s="6" t="inlineStr">
        <x:is>
          <x:t xml:space="preserve">Admin Assistant</x:t>
        </x:is>
      </x:c>
      <x:c r="D10" s="77" t="n">
        <x:v>15000</x:v>
      </x:c>
      <x:c r="E10" t="inlineStr">
        <x:is>
          <x:t xml:space="preserve">Regular</x:t>
        </x:is>
      </x:c>
      <x:c r="F10" t="inlineStr">
        <x:is>
          <x:t xml:space="preserve">Talisay City</x:t>
        </x:is>
      </x:c>
      <x:c r="G10" t="inlineStr">
        <x:is>
          <x:t xml:space="preserve">Operations</x:t>
        </x:is>
      </x:c>
      <x:c r="H10" t="inlineStr">
        <x:is>
          <x:t xml:space="preserve">OPS</x:t>
        </x:is>
      </x:c>
      <x:c r="J10" t="inlineStr">
        <x:is>
          <x:t xml:space="preserve">UNIONBANK-150291699922</x:t>
        </x:is>
      </x:c>
      <x:c r="K10" t="inlineStr">
        <x:is>
          <x:t xml:space="preserve">Salaried</x:t>
        </x:is>
      </x:c>
      <x:c r="L10" t="inlineStr">
        <x:is>
          <x:t xml:space="preserve">General</x:t>
        </x:is>
      </x:c>
      <x:c r="M10" t="inlineStr">
        <x:is>
          <x:t xml:space="preserve">B</x:t>
        </x:is>
      </x:c>
      <x:c r="N10" t="inlineStr">
        <x:is>
          <x:t xml:space="preserve">Manager</x:t>
        </x:is>
      </x:c>
      <x:c r="O10" t="inlineStr">
        <x:is>
          <x:t xml:space="preserve">Director</x:t>
        </x:is>
      </x:c>
      <x:c r="P10" t="inlineStr">
        <x:is>
          <x:t xml:space="preserve">+639525803517</x:t>
        </x:is>
      </x:c>
      <x:c r="Q10" t="inlineStr">
        <x:is>
          <x:t xml:space="preserve">2024-01-15</x:t>
        </x:is>
      </x:c>
    </x:row>
    <x:row r="11">
      <x:c r="A11" s="10" t="inlineStr">
        <x:is>
          <x:t xml:space="preserve">02100106</x:t>
        </x:is>
      </x:c>
      <x:c r="B11" s="10" t="inlineStr">
        <x:is>
          <x:t xml:space="preserve">Anna Mica Ella Punongbayan</x:t>
        </x:is>
      </x:c>
      <x:c r="C11" s="6" t="inlineStr">
        <x:is>
          <x:t xml:space="preserve">Admin Assistant</x:t>
        </x:is>
      </x:c>
      <x:c r="D11" s="77" t="n">
        <x:v>22000</x:v>
      </x:c>
      <x:c r="E11" t="inlineStr">
        <x:is>
          <x:t xml:space="preserve">Probationary</x:t>
        </x:is>
      </x:c>
      <x:c r="F11" t="inlineStr">
        <x:is>
          <x:t xml:space="preserve">Lapu-Lapu City</x:t>
        </x:is>
      </x:c>
      <x:c r="G11" t="inlineStr">
        <x:is>
          <x:t xml:space="preserve">Recruitment</x:t>
        </x:is>
      </x:c>
      <x:c r="H11" t="inlineStr">
        <x:is>
          <x:t xml:space="preserve">REC</x:t>
        </x:is>
      </x:c>
      <x:c r="J11" t="inlineStr">
        <x:is>
          <x:t xml:space="preserve">UNIONBANK-517880043865</x:t>
        </x:is>
      </x:c>
      <x:c r="K11" t="inlineStr">
        <x:is>
          <x:t xml:space="preserve">Salaried</x:t>
        </x:is>
      </x:c>
      <x:c r="L11" t="inlineStr">
        <x:is>
          <x:t xml:space="preserve">General</x:t>
        </x:is>
      </x:c>
      <x:c r="M11" t="inlineStr">
        <x:is>
          <x:t xml:space="preserve">B</x:t>
        </x:is>
      </x:c>
      <x:c r="N11" t="inlineStr">
        <x:is>
          <x:t xml:space="preserve">Manager</x:t>
        </x:is>
      </x:c>
      <x:c r="O11" t="inlineStr">
        <x:is>
          <x:t xml:space="preserve">Director</x:t>
        </x:is>
      </x:c>
      <x:c r="P11" t="inlineStr">
        <x:is>
          <x:t xml:space="preserve">+639441778954</x:t>
        </x:is>
      </x:c>
      <x:c r="Q11" t="inlineStr">
        <x:is>
          <x:t xml:space="preserve">2024-01-15</x:t>
        </x:is>
      </x:c>
    </x:row>
    <x:row r="12">
      <x:c r="A12" s="10" t="inlineStr">
        <x:is>
          <x:t xml:space="preserve">02100227</x:t>
        </x:is>
      </x:c>
      <x:c r="B12" s="10" t="inlineStr">
        <x:is>
          <x:t xml:space="preserve">April Jane Elnar</x:t>
        </x:is>
      </x:c>
      <x:c r="C12" s="6" t="inlineStr">
        <x:is>
          <x:t xml:space="preserve">Customer Service Representative</x:t>
        </x:is>
      </x:c>
      <x:c r="D12" s="77" t="n">
        <x:v>20000</x:v>
      </x:c>
      <x:c r="E12" t="inlineStr">
        <x:is>
          <x:t xml:space="preserve">Probationary</x:t>
        </x:is>
      </x:c>
      <x:c r="F12" t="inlineStr">
        <x:is>
          <x:t xml:space="preserve">Cebu City</x:t>
        </x:is>
      </x:c>
      <x:c r="G12" t="inlineStr">
        <x:is>
          <x:t xml:space="preserve">Finance</x:t>
        </x:is>
      </x:c>
      <x:c r="H12" t="inlineStr">
        <x:is>
          <x:t xml:space="preserve">FIN</x:t>
        </x:is>
      </x:c>
      <x:c r="J12" t="inlineStr">
        <x:is>
          <x:t xml:space="preserve">UNIONBANK-576246461241</x:t>
        </x:is>
      </x:c>
      <x:c r="K12" t="inlineStr">
        <x:is>
          <x:t xml:space="preserve">Salaried</x:t>
        </x:is>
      </x:c>
      <x:c r="L12" t="inlineStr">
        <x:is>
          <x:t xml:space="preserve">General</x:t>
        </x:is>
      </x:c>
      <x:c r="M12" t="inlineStr">
        <x:is>
          <x:t xml:space="preserve">C</x:t>
        </x:is>
      </x:c>
      <x:c r="N12" t="inlineStr">
        <x:is>
          <x:t xml:space="preserve">Manager</x:t>
        </x:is>
      </x:c>
      <x:c r="O12" t="inlineStr">
        <x:is>
          <x:t xml:space="preserve">Director</x:t>
        </x:is>
      </x:c>
      <x:c r="P12" t="inlineStr">
        <x:is>
          <x:t xml:space="preserve">+639858916772</x:t>
        </x:is>
      </x:c>
      <x:c r="Q12" t="inlineStr">
        <x:is>
          <x:t xml:space="preserve">2024-01-15</x:t>
        </x:is>
      </x:c>
    </x:row>
    <x:row r="13">
      <x:c r="A13" s="10" t="inlineStr">
        <x:is>
          <x:t xml:space="preserve">02100194</x:t>
        </x:is>
      </x:c>
      <x:c r="B13" s="10" t="inlineStr">
        <x:is>
          <x:t xml:space="preserve">April Sanchez</x:t>
        </x:is>
      </x:c>
      <x:c r="C13" s="6" t="inlineStr">
        <x:is>
          <x:t xml:space="preserve">Technical Support Representative</x:t>
        </x:is>
      </x:c>
      <x:c r="D13" s="77" t="n">
        <x:v>18500</x:v>
      </x:c>
      <x:c r="E13" t="inlineStr">
        <x:is>
          <x:t xml:space="preserve">Probationary</x:t>
        </x:is>
      </x:c>
      <x:c r="F13" t="inlineStr">
        <x:is>
          <x:t xml:space="preserve">Lapu-Lapu City</x:t>
        </x:is>
      </x:c>
      <x:c r="G13" t="inlineStr">
        <x:is>
          <x:t xml:space="preserve">Administration</x:t>
        </x:is>
      </x:c>
      <x:c r="H13" t="inlineStr">
        <x:is>
          <x:t xml:space="preserve">ADM</x:t>
        </x:is>
      </x:c>
      <x:c r="J13" t="inlineStr">
        <x:is>
          <x:t xml:space="preserve">UNIONBANK-728493343800</x:t>
        </x:is>
      </x:c>
      <x:c r="K13" t="inlineStr">
        <x:is>
          <x:t xml:space="preserve">Salaried</x:t>
        </x:is>
      </x:c>
      <x:c r="L13" t="inlineStr">
        <x:is>
          <x:t xml:space="preserve">General</x:t>
        </x:is>
      </x:c>
      <x:c r="M13" t="inlineStr">
        <x:is>
          <x:t xml:space="preserve">B</x:t>
        </x:is>
      </x:c>
      <x:c r="N13" t="inlineStr">
        <x:is>
          <x:t xml:space="preserve">Manager</x:t>
        </x:is>
      </x:c>
      <x:c r="O13" t="inlineStr">
        <x:is>
          <x:t xml:space="preserve">Director</x:t>
        </x:is>
      </x:c>
      <x:c r="P13" t="inlineStr">
        <x:is>
          <x:t xml:space="preserve">+639720395687</x:t>
        </x:is>
      </x:c>
      <x:c r="Q13" t="inlineStr">
        <x:is>
          <x:t xml:space="preserve">2024-01-15</x:t>
        </x:is>
      </x:c>
    </x:row>
    <x:row r="14">
      <x:c r="A14" s="10" t="inlineStr">
        <x:is>
          <x:t xml:space="preserve">01100218</x:t>
        </x:is>
      </x:c>
      <x:c r="B14" s="10" t="inlineStr">
        <x:is>
          <x:t xml:space="preserve">Aquilyn Dayan A. Adlit</x:t>
        </x:is>
      </x:c>
      <x:c r="C14" s="6" t="inlineStr">
        <x:is>
          <x:t xml:space="preserve">Payroll Assistant</x:t>
        </x:is>
      </x:c>
      <x:c r="D14" s="77" t="n">
        <x:v>20000</x:v>
      </x:c>
      <x:c r="E14" t="inlineStr">
        <x:is>
          <x:t xml:space="preserve">Regular</x:t>
        </x:is>
      </x:c>
      <x:c r="F14" t="inlineStr">
        <x:is>
          <x:t xml:space="preserve">Cebu City</x:t>
        </x:is>
      </x:c>
      <x:c r="G14" t="inlineStr">
        <x:is>
          <x:t xml:space="preserve">Quality Assurance</x:t>
        </x:is>
      </x:c>
      <x:c r="H14" t="inlineStr">
        <x:is>
          <x:t xml:space="preserve">QA</x:t>
        </x:is>
      </x:c>
      <x:c r="J14" t="inlineStr">
        <x:is>
          <x:t xml:space="preserve">UNIONBANK-532498341210</x:t>
        </x:is>
      </x:c>
      <x:c r="K14" t="inlineStr">
        <x:is>
          <x:t xml:space="preserve">Salaried</x:t>
        </x:is>
      </x:c>
      <x:c r="L14" t="inlineStr">
        <x:is>
          <x:t xml:space="preserve">General</x:t>
        </x:is>
      </x:c>
      <x:c r="M14" t="inlineStr">
        <x:is>
          <x:t xml:space="preserve">C</x:t>
        </x:is>
      </x:c>
      <x:c r="N14" t="inlineStr">
        <x:is>
          <x:t xml:space="preserve">Manager</x:t>
        </x:is>
      </x:c>
      <x:c r="O14" t="inlineStr">
        <x:is>
          <x:t xml:space="preserve">Director</x:t>
        </x:is>
      </x:c>
      <x:c r="P14" t="inlineStr">
        <x:is>
          <x:t xml:space="preserve">+639134580263</x:t>
        </x:is>
      </x:c>
      <x:c r="Q14" t="inlineStr">
        <x:is>
          <x:t xml:space="preserve">2024-01-15</x:t>
        </x:is>
      </x:c>
    </x:row>
    <x:row r="15">
      <x:c r="A15" s="10" t="inlineStr">
        <x:is>
          <x:t xml:space="preserve">02100327</x:t>
        </x:is>
      </x:c>
      <x:c r="B15" s="10" t="inlineStr">
        <x:is>
          <x:t xml:space="preserve">Ardeth James Ortega</x:t>
        </x:is>
      </x:c>
      <x:c r="C15" s="6" t="inlineStr">
        <x:is>
          <x:t xml:space="preserve">Payroll Assistant</x:t>
        </x:is>
      </x:c>
      <x:c r="D15" s="77" t="n">
        <x:v>21000</x:v>
      </x:c>
      <x:c r="E15" t="inlineStr">
        <x:is>
          <x:t xml:space="preserve">Probationary</x:t>
        </x:is>
      </x:c>
      <x:c r="F15" t="inlineStr">
        <x:is>
          <x:t xml:space="preserve">Cebu City</x:t>
        </x:is>
      </x:c>
      <x:c r="G15" t="inlineStr">
        <x:is>
          <x:t xml:space="preserve">Recruitment</x:t>
        </x:is>
      </x:c>
      <x:c r="H15" t="inlineStr">
        <x:is>
          <x:t xml:space="preserve">REC</x:t>
        </x:is>
      </x:c>
      <x:c r="J15" t="inlineStr">
        <x:is>
          <x:t xml:space="preserve">UNIONBANK-760055740066</x:t>
        </x:is>
      </x:c>
      <x:c r="K15" t="inlineStr">
        <x:is>
          <x:t xml:space="preserve">Salaried</x:t>
        </x:is>
      </x:c>
      <x:c r="L15" t="inlineStr">
        <x:is>
          <x:t xml:space="preserve">General</x:t>
        </x:is>
      </x:c>
      <x:c r="M15" t="inlineStr">
        <x:is>
          <x:t xml:space="preserve">B</x:t>
        </x:is>
      </x:c>
      <x:c r="N15" t="inlineStr">
        <x:is>
          <x:t xml:space="preserve">Manager</x:t>
        </x:is>
      </x:c>
      <x:c r="O15" t="inlineStr">
        <x:is>
          <x:t xml:space="preserve">Director</x:t>
        </x:is>
      </x:c>
      <x:c r="P15" t="inlineStr">
        <x:is>
          <x:t xml:space="preserve">+639445179613</x:t>
        </x:is>
      </x:c>
      <x:c r="Q15" t="inlineStr">
        <x:is>
          <x:t xml:space="preserve">2024-01-15</x:t>
        </x:is>
      </x:c>
    </x:row>
    <x:row r="16">
      <x:c r="A16" s="10" t="inlineStr">
        <x:is>
          <x:t xml:space="preserve">02100107</x:t>
        </x:is>
      </x:c>
      <x:c r="B16" s="10" t="inlineStr">
        <x:is>
          <x:t xml:space="preserve">Brenda Mae T. Bacurnay</x:t>
        </x:is>
      </x:c>
      <x:c r="C16" s="6" t="inlineStr">
        <x:is>
          <x:t xml:space="preserve">Payroll Assistant</x:t>
        </x:is>
      </x:c>
      <x:c r="D16" s="77" t="n">
        <x:v>22000</x:v>
      </x:c>
      <x:c r="E16" t="inlineStr">
        <x:is>
          <x:t xml:space="preserve">Regular</x:t>
        </x:is>
      </x:c>
      <x:c r="F16" t="inlineStr">
        <x:is>
          <x:t xml:space="preserve">Talisay City</x:t>
        </x:is>
      </x:c>
      <x:c r="G16" t="inlineStr">
        <x:is>
          <x:t xml:space="preserve">Information Technology</x:t>
        </x:is>
      </x:c>
      <x:c r="H16" t="inlineStr">
        <x:is>
          <x:t xml:space="preserve">IT</x:t>
        </x:is>
      </x:c>
      <x:c r="J16" t="inlineStr">
        <x:is>
          <x:t xml:space="preserve">UNIONBANK-685932587422</x:t>
        </x:is>
      </x:c>
      <x:c r="K16" t="inlineStr">
        <x:is>
          <x:t xml:space="preserve">Salaried</x:t>
        </x:is>
      </x:c>
      <x:c r="L16" t="inlineStr">
        <x:is>
          <x:t xml:space="preserve">General</x:t>
        </x:is>
      </x:c>
      <x:c r="M16" t="inlineStr">
        <x:is>
          <x:t xml:space="preserve">C</x:t>
        </x:is>
      </x:c>
      <x:c r="N16" t="inlineStr">
        <x:is>
          <x:t xml:space="preserve">Manager</x:t>
        </x:is>
      </x:c>
      <x:c r="O16" t="inlineStr">
        <x:is>
          <x:t xml:space="preserve">Director</x:t>
        </x:is>
      </x:c>
      <x:c r="P16" t="inlineStr">
        <x:is>
          <x:t xml:space="preserve">+639397765382</x:t>
        </x:is>
      </x:c>
      <x:c r="Q16" t="inlineStr">
        <x:is>
          <x:t xml:space="preserve">2024-01-15</x:t>
        </x:is>
      </x:c>
    </x:row>
    <x:row r="17">
      <x:c r="A17" s="10" t="inlineStr">
        <x:is>
          <x:t xml:space="preserve">01100271</x:t>
        </x:is>
      </x:c>
      <x:c r="B17" s="10" t="inlineStr">
        <x:is>
          <x:t xml:space="preserve">Buenagen Bagundol</x:t>
        </x:is>
      </x:c>
      <x:c r="C17" s="6" t="inlineStr">
        <x:is>
          <x:t xml:space="preserve">Recruitment Staff</x:t>
        </x:is>
      </x:c>
      <x:c r="D17" s="77" t="n">
        <x:v>19500</x:v>
      </x:c>
      <x:c r="E17" t="inlineStr">
        <x:is>
          <x:t xml:space="preserve">Probationary</x:t>
        </x:is>
      </x:c>
      <x:c r="F17" t="inlineStr">
        <x:is>
          <x:t xml:space="preserve">Mandaue City</x:t>
        </x:is>
      </x:c>
      <x:c r="G17" t="inlineStr">
        <x:is>
          <x:t xml:space="preserve">Information Technology</x:t>
        </x:is>
      </x:c>
      <x:c r="H17" t="inlineStr">
        <x:is>
          <x:t xml:space="preserve">IT</x:t>
        </x:is>
      </x:c>
      <x:c r="J17" t="inlineStr">
        <x:is>
          <x:t xml:space="preserve">UNIONBANK-844942459072</x:t>
        </x:is>
      </x:c>
      <x:c r="K17" t="inlineStr">
        <x:is>
          <x:t xml:space="preserve">Salaried</x:t>
        </x:is>
      </x:c>
      <x:c r="L17" t="inlineStr">
        <x:is>
          <x:t xml:space="preserve">General</x:t>
        </x:is>
      </x:c>
      <x:c r="M17" t="inlineStr">
        <x:is>
          <x:t xml:space="preserve">C</x:t>
        </x:is>
      </x:c>
      <x:c r="N17" t="inlineStr">
        <x:is>
          <x:t xml:space="preserve">Manager</x:t>
        </x:is>
      </x:c>
      <x:c r="O17" t="inlineStr">
        <x:is>
          <x:t xml:space="preserve">Director</x:t>
        </x:is>
      </x:c>
      <x:c r="P17" t="inlineStr">
        <x:is>
          <x:t xml:space="preserve">+639496337181</x:t>
        </x:is>
      </x:c>
      <x:c r="Q17" t="inlineStr">
        <x:is>
          <x:t xml:space="preserve">2024-01-15</x:t>
        </x:is>
      </x:c>
    </x:row>
    <x:row r="18">
      <x:c r="A18" s="10" t="inlineStr">
        <x:is>
          <x:t xml:space="preserve">01100108</x:t>
        </x:is>
      </x:c>
      <x:c r="B18" s="10" t="inlineStr">
        <x:is>
          <x:t xml:space="preserve">Camela Torrate</x:t>
        </x:is>
      </x:c>
      <x:c r="C18" s="6" t="inlineStr">
        <x:is>
          <x:t xml:space="preserve">Admin Assistant</x:t>
        </x:is>
      </x:c>
      <x:c r="D18" s="77" t="n">
        <x:v>16000</x:v>
      </x:c>
      <x:c r="E18" t="inlineStr">
        <x:is>
          <x:t xml:space="preserve">Contractual</x:t>
        </x:is>
      </x:c>
      <x:c r="F18" t="inlineStr">
        <x:is>
          <x:t xml:space="preserve">Lapu-Lapu City</x:t>
        </x:is>
      </x:c>
      <x:c r="G18" t="inlineStr">
        <x:is>
          <x:t xml:space="preserve">Quality Assurance</x:t>
        </x:is>
      </x:c>
      <x:c r="H18" t="inlineStr">
        <x:is>
          <x:t xml:space="preserve">QA</x:t>
        </x:is>
      </x:c>
      <x:c r="J18" t="inlineStr">
        <x:is>
          <x:t xml:space="preserve">UNIONBANK-338236409295</x:t>
        </x:is>
      </x:c>
      <x:c r="K18" t="inlineStr">
        <x:is>
          <x:t xml:space="preserve">Salaried</x:t>
        </x:is>
      </x:c>
      <x:c r="L18" t="inlineStr">
        <x:is>
          <x:t xml:space="preserve">General</x:t>
        </x:is>
      </x:c>
      <x:c r="M18" t="inlineStr">
        <x:is>
          <x:t xml:space="preserve">A</x:t>
        </x:is>
      </x:c>
      <x:c r="N18" t="inlineStr">
        <x:is>
          <x:t xml:space="preserve">Manager</x:t>
        </x:is>
      </x:c>
      <x:c r="O18" t="inlineStr">
        <x:is>
          <x:t xml:space="preserve">Director</x:t>
        </x:is>
      </x:c>
      <x:c r="P18" t="inlineStr">
        <x:is>
          <x:t xml:space="preserve">+639433282516</x:t>
        </x:is>
      </x:c>
      <x:c r="Q18" t="inlineStr">
        <x:is>
          <x:t xml:space="preserve">2024-01-15</x:t>
        </x:is>
      </x:c>
    </x:row>
    <x:row r="19">
      <x:c r="A19" s="10" t="inlineStr">
        <x:is>
          <x:t xml:space="preserve">02100109</x:t>
        </x:is>
      </x:c>
      <x:c r="B19" s="10" t="inlineStr">
        <x:is>
          <x:t xml:space="preserve">Candice Kate Velasco</x:t>
        </x:is>
      </x:c>
      <x:c r="C19" s="6" t="inlineStr">
        <x:is>
          <x:t xml:space="preserve">Technical Support Representative</x:t>
        </x:is>
      </x:c>
      <x:c r="D19" s="77" t="n">
        <x:v>19000</x:v>
      </x:c>
      <x:c r="E19" t="inlineStr">
        <x:is>
          <x:t xml:space="preserve">Contractual</x:t>
        </x:is>
      </x:c>
      <x:c r="F19" t="inlineStr">
        <x:is>
          <x:t xml:space="preserve">Mandaue City</x:t>
        </x:is>
      </x:c>
      <x:c r="G19" t="inlineStr">
        <x:is>
          <x:t xml:space="preserve">Administration</x:t>
        </x:is>
      </x:c>
      <x:c r="H19" t="inlineStr">
        <x:is>
          <x:t xml:space="preserve">ADM</x:t>
        </x:is>
      </x:c>
      <x:c r="J19" t="inlineStr">
        <x:is>
          <x:t xml:space="preserve">UNIONBANK-432130000010</x:t>
        </x:is>
      </x:c>
      <x:c r="K19" t="inlineStr">
        <x:is>
          <x:t xml:space="preserve">Salaried</x:t>
        </x:is>
      </x:c>
      <x:c r="L19" t="inlineStr">
        <x:is>
          <x:t xml:space="preserve">General</x:t>
        </x:is>
      </x:c>
      <x:c r="M19" t="inlineStr">
        <x:is>
          <x:t xml:space="preserve">C</x:t>
        </x:is>
      </x:c>
      <x:c r="N19" t="inlineStr">
        <x:is>
          <x:t xml:space="preserve">Manager</x:t>
        </x:is>
      </x:c>
      <x:c r="O19" t="inlineStr">
        <x:is>
          <x:t xml:space="preserve">Director</x:t>
        </x:is>
      </x:c>
      <x:c r="P19" t="inlineStr">
        <x:is>
          <x:t xml:space="preserve">+639241424670</x:t>
        </x:is>
      </x:c>
      <x:c r="Q19" t="inlineStr">
        <x:is>
          <x:t xml:space="preserve">2024-01-15</x:t>
        </x:is>
      </x:c>
    </x:row>
    <x:row r="20">
      <x:c r="A20" s="10" t="inlineStr">
        <x:is>
          <x:t xml:space="preserve">02100294</x:t>
        </x:is>
      </x:c>
      <x:c r="B20" s="10" t="inlineStr">
        <x:is>
          <x:t xml:space="preserve">Carlo John Rubio</x:t>
        </x:is>
      </x:c>
      <x:c r="C20" s="6" t="inlineStr">
        <x:is>
          <x:t xml:space="preserve">Payroll Assistant</x:t>
        </x:is>
      </x:c>
      <x:c r="D20" s="77" t="n">
        <x:v>15500</x:v>
      </x:c>
      <x:c r="E20" t="inlineStr">
        <x:is>
          <x:t xml:space="preserve">Probationary</x:t>
        </x:is>
      </x:c>
      <x:c r="F20" t="inlineStr">
        <x:is>
          <x:t xml:space="preserve">Talisay City</x:t>
        </x:is>
      </x:c>
      <x:c r="G20" t="inlineStr">
        <x:is>
          <x:t xml:space="preserve">Information Technology</x:t>
        </x:is>
      </x:c>
      <x:c r="H20" t="inlineStr">
        <x:is>
          <x:t xml:space="preserve">IT</x:t>
        </x:is>
      </x:c>
      <x:c r="J20" t="inlineStr">
        <x:is>
          <x:t xml:space="preserve">UNIONBANK-525059197940</x:t>
        </x:is>
      </x:c>
      <x:c r="K20" t="inlineStr">
        <x:is>
          <x:t xml:space="preserve">Salaried</x:t>
        </x:is>
      </x:c>
      <x:c r="L20" t="inlineStr">
        <x:is>
          <x:t xml:space="preserve">General</x:t>
        </x:is>
      </x:c>
      <x:c r="M20" t="inlineStr">
        <x:is>
          <x:t xml:space="preserve">C</x:t>
        </x:is>
      </x:c>
      <x:c r="N20" t="inlineStr">
        <x:is>
          <x:t xml:space="preserve">Manager</x:t>
        </x:is>
      </x:c>
      <x:c r="O20" t="inlineStr">
        <x:is>
          <x:t xml:space="preserve">Director</x:t>
        </x:is>
      </x:c>
      <x:c r="P20" t="inlineStr">
        <x:is>
          <x:t xml:space="preserve">+639800672409</x:t>
        </x:is>
      </x:c>
      <x:c r="Q20" t="inlineStr">
        <x:is>
          <x:t xml:space="preserve">2024-01-15</x:t>
        </x:is>
      </x:c>
    </x:row>
    <x:row r="21">
      <x:c r="A21" s="10" t="inlineStr">
        <x:is>
          <x:t xml:space="preserve">01100270</x:t>
        </x:is>
      </x:c>
      <x:c r="B21" s="10" t="inlineStr">
        <x:is>
          <x:t xml:space="preserve">Catherine Vergara</x:t>
        </x:is>
      </x:c>
      <x:c r="C21" s="6" t="inlineStr">
        <x:is>
          <x:t xml:space="preserve">IT Support Staff</x:t>
        </x:is>
      </x:c>
      <x:c r="D21" s="77" t="n">
        <x:v>16000</x:v>
      </x:c>
      <x:c r="E21" t="inlineStr">
        <x:is>
          <x:t xml:space="preserve">Contractual</x:t>
        </x:is>
      </x:c>
      <x:c r="F21" t="inlineStr">
        <x:is>
          <x:t xml:space="preserve">Lapu-Lapu City</x:t>
        </x:is>
      </x:c>
      <x:c r="G21" t="inlineStr">
        <x:is>
          <x:t xml:space="preserve">Recruitment</x:t>
        </x:is>
      </x:c>
      <x:c r="H21" t="inlineStr">
        <x:is>
          <x:t xml:space="preserve">REC</x:t>
        </x:is>
      </x:c>
      <x:c r="J21" t="inlineStr">
        <x:is>
          <x:t xml:space="preserve">UNIONBANK-969977695571</x:t>
        </x:is>
      </x:c>
      <x:c r="K21" t="inlineStr">
        <x:is>
          <x:t xml:space="preserve">Salaried</x:t>
        </x:is>
      </x:c>
      <x:c r="L21" t="inlineStr">
        <x:is>
          <x:t xml:space="preserve">General</x:t>
        </x:is>
      </x:c>
      <x:c r="M21" t="inlineStr">
        <x:is>
          <x:t xml:space="preserve">C</x:t>
        </x:is>
      </x:c>
      <x:c r="N21" t="inlineStr">
        <x:is>
          <x:t xml:space="preserve">Manager</x:t>
        </x:is>
      </x:c>
      <x:c r="O21" t="inlineStr">
        <x:is>
          <x:t xml:space="preserve">Director</x:t>
        </x:is>
      </x:c>
      <x:c r="P21" t="inlineStr">
        <x:is>
          <x:t xml:space="preserve">+639778443465</x:t>
        </x:is>
      </x:c>
      <x:c r="Q21" t="inlineStr">
        <x:is>
          <x:t xml:space="preserve">2024-01-15</x:t>
        </x:is>
      </x:c>
    </x:row>
    <x:row r="22">
      <x:c r="A22" s="10" t="inlineStr">
        <x:is>
          <x:t xml:space="preserve">01100220</x:t>
        </x:is>
      </x:c>
      <x:c r="B22" s="10" t="inlineStr">
        <x:is>
          <x:t xml:space="preserve">Christian Pagobo</x:t>
        </x:is>
      </x:c>
      <x:c r="C22" s="6" t="inlineStr">
        <x:is>
          <x:t xml:space="preserve">Customer Service Representative</x:t>
        </x:is>
      </x:c>
      <x:c r="D22" s="77" t="n">
        <x:v>16000</x:v>
      </x:c>
      <x:c r="E22" t="inlineStr">
        <x:is>
          <x:t xml:space="preserve">Regular</x:t>
        </x:is>
      </x:c>
      <x:c r="F22" t="inlineStr">
        <x:is>
          <x:t xml:space="preserve">Lapu-Lapu City</x:t>
        </x:is>
      </x:c>
      <x:c r="G22" t="inlineStr">
        <x:is>
          <x:t xml:space="preserve">Finance</x:t>
        </x:is>
      </x:c>
      <x:c r="H22" t="inlineStr">
        <x:is>
          <x:t xml:space="preserve">FIN</x:t>
        </x:is>
      </x:c>
      <x:c r="J22" t="inlineStr">
        <x:is>
          <x:t xml:space="preserve">UNIONBANK-108446134961</x:t>
        </x:is>
      </x:c>
      <x:c r="K22" t="inlineStr">
        <x:is>
          <x:t xml:space="preserve">Salaried</x:t>
        </x:is>
      </x:c>
      <x:c r="L22" t="inlineStr">
        <x:is>
          <x:t xml:space="preserve">General</x:t>
        </x:is>
      </x:c>
      <x:c r="M22" t="inlineStr">
        <x:is>
          <x:t xml:space="preserve">B</x:t>
        </x:is>
      </x:c>
      <x:c r="N22" t="inlineStr">
        <x:is>
          <x:t xml:space="preserve">Manager</x:t>
        </x:is>
      </x:c>
      <x:c r="O22" t="inlineStr">
        <x:is>
          <x:t xml:space="preserve">Director</x:t>
        </x:is>
      </x:c>
      <x:c r="P22" t="inlineStr">
        <x:is>
          <x:t xml:space="preserve">+639871217026</x:t>
        </x:is>
      </x:c>
      <x:c r="Q22" t="inlineStr">
        <x:is>
          <x:t xml:space="preserve">2024-01-15</x:t>
        </x:is>
      </x:c>
    </x:row>
    <x:row r="23">
      <x:c r="A23" s="10" t="inlineStr">
        <x:is>
          <x:t xml:space="preserve">01100112</x:t>
        </x:is>
      </x:c>
      <x:c r="B23" s="10" t="inlineStr">
        <x:is>
          <x:t xml:space="preserve">Crislyn Cuizon</x:t>
        </x:is>
      </x:c>
      <x:c r="C23" s="6" t="inlineStr">
        <x:is>
          <x:t xml:space="preserve">HR Assistant</x:t>
        </x:is>
      </x:c>
      <x:c r="D23" s="77" t="n">
        <x:v>15000</x:v>
      </x:c>
      <x:c r="E23" t="inlineStr">
        <x:is>
          <x:t xml:space="preserve">Regular</x:t>
        </x:is>
      </x:c>
      <x:c r="F23" t="inlineStr">
        <x:is>
          <x:t xml:space="preserve">Lapu-Lapu City</x:t>
        </x:is>
      </x:c>
      <x:c r="G23" t="inlineStr">
        <x:is>
          <x:t xml:space="preserve">Human Resources</x:t>
        </x:is>
      </x:c>
      <x:c r="H23" t="inlineStr">
        <x:is>
          <x:t xml:space="preserve">HR</x:t>
        </x:is>
      </x:c>
      <x:c r="J23" t="inlineStr">
        <x:is>
          <x:t xml:space="preserve">UNIONBANK-122591374493</x:t>
        </x:is>
      </x:c>
      <x:c r="K23" t="inlineStr">
        <x:is>
          <x:t xml:space="preserve">Salaried</x:t>
        </x:is>
      </x:c>
      <x:c r="L23" t="inlineStr">
        <x:is>
          <x:t xml:space="preserve">General</x:t>
        </x:is>
      </x:c>
      <x:c r="M23" t="inlineStr">
        <x:is>
          <x:t xml:space="preserve">B</x:t>
        </x:is>
      </x:c>
      <x:c r="N23" t="inlineStr">
        <x:is>
          <x:t xml:space="preserve">Manager</x:t>
        </x:is>
      </x:c>
      <x:c r="O23" t="inlineStr">
        <x:is>
          <x:t xml:space="preserve">Director</x:t>
        </x:is>
      </x:c>
      <x:c r="P23" t="inlineStr">
        <x:is>
          <x:t xml:space="preserve">+639716264632</x:t>
        </x:is>
      </x:c>
      <x:c r="Q23" t="inlineStr">
        <x:is>
          <x:t xml:space="preserve">2024-01-15</x:t>
        </x:is>
      </x:c>
    </x:row>
    <x:row r="24">
      <x:c r="A24" s="10" t="inlineStr">
        <x:is>
          <x:t xml:space="preserve">01100329</x:t>
        </x:is>
      </x:c>
      <x:c r="B24" s="10" t="inlineStr">
        <x:is>
          <x:t xml:space="preserve">Cyriline Vergara</x:t>
        </x:is>
      </x:c>
      <x:c r="C24" s="6" t="inlineStr">
        <x:is>
          <x:t xml:space="preserve">Recruitment Staff</x:t>
        </x:is>
      </x:c>
      <x:c r="D24" s="77" t="n">
        <x:v>17500</x:v>
      </x:c>
      <x:c r="E24" t="inlineStr">
        <x:is>
          <x:t xml:space="preserve">Contractual</x:t>
        </x:is>
      </x:c>
      <x:c r="F24" t="inlineStr">
        <x:is>
          <x:t xml:space="preserve">Talisay City</x:t>
        </x:is>
      </x:c>
      <x:c r="G24" t="inlineStr">
        <x:is>
          <x:t xml:space="preserve">Human Resources</x:t>
        </x:is>
      </x:c>
      <x:c r="H24" t="inlineStr">
        <x:is>
          <x:t xml:space="preserve">HR</x:t>
        </x:is>
      </x:c>
      <x:c r="J24" t="inlineStr">
        <x:is>
          <x:t xml:space="preserve">UNIONBANK-704841494291</x:t>
        </x:is>
      </x:c>
      <x:c r="K24" t="inlineStr">
        <x:is>
          <x:t xml:space="preserve">Salaried</x:t>
        </x:is>
      </x:c>
      <x:c r="L24" t="inlineStr">
        <x:is>
          <x:t xml:space="preserve">General</x:t>
        </x:is>
      </x:c>
      <x:c r="M24" t="inlineStr">
        <x:is>
          <x:t xml:space="preserve">C</x:t>
        </x:is>
      </x:c>
      <x:c r="N24" t="inlineStr">
        <x:is>
          <x:t xml:space="preserve">Manager</x:t>
        </x:is>
      </x:c>
      <x:c r="O24" t="inlineStr">
        <x:is>
          <x:t xml:space="preserve">Director</x:t>
        </x:is>
      </x:c>
      <x:c r="P24" t="inlineStr">
        <x:is>
          <x:t xml:space="preserve">+639880682934</x:t>
        </x:is>
      </x:c>
      <x:c r="Q24" t="inlineStr">
        <x:is>
          <x:t xml:space="preserve">2024-01-15</x:t>
        </x:is>
      </x:c>
    </x:row>
    <x:row r="25">
      <x:c r="A25" s="10" t="inlineStr">
        <x:is>
          <x:t xml:space="preserve">01100113</x:t>
        </x:is>
      </x:c>
      <x:c r="B25" s="10" t="inlineStr">
        <x:is>
          <x:t xml:space="preserve">Demie Marie Medalle</x:t>
        </x:is>
      </x:c>
      <x:c r="C25" s="6" t="inlineStr">
        <x:is>
          <x:t xml:space="preserve">HR Assistant</x:t>
        </x:is>
      </x:c>
      <x:c r="D25" s="77" t="n">
        <x:v>15500</x:v>
      </x:c>
      <x:c r="E25" t="inlineStr">
        <x:is>
          <x:t xml:space="preserve">Regular</x:t>
        </x:is>
      </x:c>
      <x:c r="F25" t="inlineStr">
        <x:is>
          <x:t xml:space="preserve">Lapu-Lapu City</x:t>
        </x:is>
      </x:c>
      <x:c r="G25" t="inlineStr">
        <x:is>
          <x:t xml:space="preserve">Quality Assurance</x:t>
        </x:is>
      </x:c>
      <x:c r="H25" t="inlineStr">
        <x:is>
          <x:t xml:space="preserve">QA</x:t>
        </x:is>
      </x:c>
      <x:c r="J25" t="inlineStr">
        <x:is>
          <x:t xml:space="preserve">UNIONBANK-181279823457</x:t>
        </x:is>
      </x:c>
      <x:c r="K25" t="inlineStr">
        <x:is>
          <x:t xml:space="preserve">Salaried</x:t>
        </x:is>
      </x:c>
      <x:c r="L25" t="inlineStr">
        <x:is>
          <x:t xml:space="preserve">General</x:t>
        </x:is>
      </x:c>
      <x:c r="M25" t="inlineStr">
        <x:is>
          <x:t xml:space="preserve">C</x:t>
        </x:is>
      </x:c>
      <x:c r="N25" t="inlineStr">
        <x:is>
          <x:t xml:space="preserve">Manager</x:t>
        </x:is>
      </x:c>
      <x:c r="O25" t="inlineStr">
        <x:is>
          <x:t xml:space="preserve">Director</x:t>
        </x:is>
      </x:c>
      <x:c r="P25" t="inlineStr">
        <x:is>
          <x:t xml:space="preserve">+639984878219</x:t>
        </x:is>
      </x:c>
      <x:c r="Q25" t="inlineStr">
        <x:is>
          <x:t xml:space="preserve">2024-01-15</x:t>
        </x:is>
      </x:c>
    </x:row>
    <x:row r="26">
      <x:c r="A26" s="10" t="inlineStr">
        <x:is>
          <x:t xml:space="preserve">01100115</x:t>
        </x:is>
      </x:c>
      <x:c r="B26" s="10" t="inlineStr">
        <x:is>
          <x:t xml:space="preserve">Dharlene G. Bendanillo</x:t>
        </x:is>
      </x:c>
      <x:c r="C26" s="6" t="inlineStr">
        <x:is>
          <x:t xml:space="preserve">Operations Assistant</x:t>
        </x:is>
      </x:c>
      <x:c r="D26" s="77" t="n">
        <x:v>17500</x:v>
      </x:c>
      <x:c r="E26" t="inlineStr">
        <x:is>
          <x:t xml:space="preserve">Contractual</x:t>
        </x:is>
      </x:c>
      <x:c r="F26" t="inlineStr">
        <x:is>
          <x:t xml:space="preserve">Talisay City</x:t>
        </x:is>
      </x:c>
      <x:c r="G26" t="inlineStr">
        <x:is>
          <x:t xml:space="preserve">Information Technology</x:t>
        </x:is>
      </x:c>
      <x:c r="H26" t="inlineStr">
        <x:is>
          <x:t xml:space="preserve">IT</x:t>
        </x:is>
      </x:c>
      <x:c r="J26" t="inlineStr">
        <x:is>
          <x:t xml:space="preserve">UNIONBANK-974240240426</x:t>
        </x:is>
      </x:c>
      <x:c r="K26" t="inlineStr">
        <x:is>
          <x:t xml:space="preserve">Salaried</x:t>
        </x:is>
      </x:c>
      <x:c r="L26" t="inlineStr">
        <x:is>
          <x:t xml:space="preserve">General</x:t>
        </x:is>
      </x:c>
      <x:c r="M26" t="inlineStr">
        <x:is>
          <x:t xml:space="preserve">A</x:t>
        </x:is>
      </x:c>
      <x:c r="N26" t="inlineStr">
        <x:is>
          <x:t xml:space="preserve">Manager</x:t>
        </x:is>
      </x:c>
      <x:c r="O26" t="inlineStr">
        <x:is>
          <x:t xml:space="preserve">Director</x:t>
        </x:is>
      </x:c>
      <x:c r="P26" t="inlineStr">
        <x:is>
          <x:t xml:space="preserve">+639342162053</x:t>
        </x:is>
      </x:c>
      <x:c r="Q26" t="inlineStr">
        <x:is>
          <x:t xml:space="preserve">2024-01-15</x:t>
        </x:is>
      </x:c>
    </x:row>
    <x:row r="27">
      <x:c r="A27" s="10" t="inlineStr">
        <x:is>
          <x:t xml:space="preserve">01100116</x:t>
        </x:is>
      </x:c>
      <x:c r="B27" s="10" t="inlineStr">
        <x:is>
          <x:t xml:space="preserve">Donald Bacanaya</x:t>
        </x:is>
      </x:c>
      <x:c r="C27" s="6" t="inlineStr">
        <x:is>
          <x:t xml:space="preserve">Payroll Assistant</x:t>
        </x:is>
      </x:c>
      <x:c r="D27" s="77" t="n">
        <x:v>15500</x:v>
      </x:c>
      <x:c r="E27" t="inlineStr">
        <x:is>
          <x:t xml:space="preserve">Contractual</x:t>
        </x:is>
      </x:c>
      <x:c r="F27" t="inlineStr">
        <x:is>
          <x:t xml:space="preserve">Talisay City</x:t>
        </x:is>
      </x:c>
      <x:c r="G27" t="inlineStr">
        <x:is>
          <x:t xml:space="preserve">Operations</x:t>
        </x:is>
      </x:c>
      <x:c r="H27" t="inlineStr">
        <x:is>
          <x:t xml:space="preserve">OPS</x:t>
        </x:is>
      </x:c>
      <x:c r="J27" t="inlineStr">
        <x:is>
          <x:t xml:space="preserve">UNIONBANK-396066095579</x:t>
        </x:is>
      </x:c>
      <x:c r="K27" t="inlineStr">
        <x:is>
          <x:t xml:space="preserve">Salaried</x:t>
        </x:is>
      </x:c>
      <x:c r="L27" t="inlineStr">
        <x:is>
          <x:t xml:space="preserve">General</x:t>
        </x:is>
      </x:c>
      <x:c r="M27" t="inlineStr">
        <x:is>
          <x:t xml:space="preserve">B</x:t>
        </x:is>
      </x:c>
      <x:c r="N27" t="inlineStr">
        <x:is>
          <x:t xml:space="preserve">Manager</x:t>
        </x:is>
      </x:c>
      <x:c r="O27" t="inlineStr">
        <x:is>
          <x:t xml:space="preserve">Director</x:t>
        </x:is>
      </x:c>
      <x:c r="P27" t="inlineStr">
        <x:is>
          <x:t xml:space="preserve">+639939833149</x:t>
        </x:is>
      </x:c>
      <x:c r="Q27" t="inlineStr">
        <x:is>
          <x:t xml:space="preserve">2024-01-15</x:t>
        </x:is>
      </x:c>
    </x:row>
    <x:row r="28">
      <x:c r="A28" s="10" t="inlineStr">
        <x:is>
          <x:t xml:space="preserve">01100253</x:t>
        </x:is>
      </x:c>
      <x:c r="B28" s="10" t="inlineStr">
        <x:is>
          <x:t xml:space="preserve">Ericka Dorreen Amores - Abejero</x:t>
        </x:is>
      </x:c>
      <x:c r="C28" s="6" t="inlineStr">
        <x:is>
          <x:t xml:space="preserve">Customer Service Representative</x:t>
        </x:is>
      </x:c>
      <x:c r="D28" s="77" t="n">
        <x:v>22000</x:v>
      </x:c>
      <x:c r="E28" t="inlineStr">
        <x:is>
          <x:t xml:space="preserve">Regular</x:t>
        </x:is>
      </x:c>
      <x:c r="F28" t="inlineStr">
        <x:is>
          <x:t xml:space="preserve">Mandaue City</x:t>
        </x:is>
      </x:c>
      <x:c r="G28" t="inlineStr">
        <x:is>
          <x:t xml:space="preserve">Quality Assurance</x:t>
        </x:is>
      </x:c>
      <x:c r="H28" t="inlineStr">
        <x:is>
          <x:t xml:space="preserve">QA</x:t>
        </x:is>
      </x:c>
      <x:c r="J28" t="inlineStr">
        <x:is>
          <x:t xml:space="preserve">UNIONBANK-331978825112</x:t>
        </x:is>
      </x:c>
      <x:c r="K28" t="inlineStr">
        <x:is>
          <x:t xml:space="preserve">Salaried</x:t>
        </x:is>
      </x:c>
      <x:c r="L28" t="inlineStr">
        <x:is>
          <x:t xml:space="preserve">General</x:t>
        </x:is>
      </x:c>
      <x:c r="M28" t="inlineStr">
        <x:is>
          <x:t xml:space="preserve">A</x:t>
        </x:is>
      </x:c>
      <x:c r="N28" t="inlineStr">
        <x:is>
          <x:t xml:space="preserve">Manager</x:t>
        </x:is>
      </x:c>
      <x:c r="O28" t="inlineStr">
        <x:is>
          <x:t xml:space="preserve">Director</x:t>
        </x:is>
      </x:c>
      <x:c r="P28" t="inlineStr">
        <x:is>
          <x:t xml:space="preserve">+639162151231</x:t>
        </x:is>
      </x:c>
      <x:c r="Q28" t="inlineStr">
        <x:is>
          <x:t xml:space="preserve">2024-01-15</x:t>
        </x:is>
      </x:c>
    </x:row>
    <x:row r="29">
      <x:c r="A29" s="10" t="inlineStr">
        <x:is>
          <x:t xml:space="preserve">02100117</x:t>
        </x:is>
      </x:c>
      <x:c r="B29" s="10" t="inlineStr">
        <x:is>
          <x:t xml:space="preserve">Ernesto F. Roquin Jr.</x:t>
        </x:is>
      </x:c>
      <x:c r="C29" s="6" t="inlineStr">
        <x:is>
          <x:t xml:space="preserve">Data Encoder</x:t>
        </x:is>
      </x:c>
      <x:c r="D29" s="77" t="n">
        <x:v>21000</x:v>
      </x:c>
      <x:c r="E29" t="inlineStr">
        <x:is>
          <x:t xml:space="preserve">Contractual</x:t>
        </x:is>
      </x:c>
      <x:c r="F29" t="inlineStr">
        <x:is>
          <x:t xml:space="preserve">Talisay City</x:t>
        </x:is>
      </x:c>
      <x:c r="G29" t="inlineStr">
        <x:is>
          <x:t xml:space="preserve">Administration</x:t>
        </x:is>
      </x:c>
      <x:c r="H29" t="inlineStr">
        <x:is>
          <x:t xml:space="preserve">ADM</x:t>
        </x:is>
      </x:c>
      <x:c r="J29" t="inlineStr">
        <x:is>
          <x:t xml:space="preserve">UNIONBANK-432284310585</x:t>
        </x:is>
      </x:c>
      <x:c r="K29" t="inlineStr">
        <x:is>
          <x:t xml:space="preserve">Salaried</x:t>
        </x:is>
      </x:c>
      <x:c r="L29" t="inlineStr">
        <x:is>
          <x:t xml:space="preserve">General</x:t>
        </x:is>
      </x:c>
      <x:c r="M29" t="inlineStr">
        <x:is>
          <x:t xml:space="preserve">C</x:t>
        </x:is>
      </x:c>
      <x:c r="N29" t="inlineStr">
        <x:is>
          <x:t xml:space="preserve">Manager</x:t>
        </x:is>
      </x:c>
      <x:c r="O29" t="inlineStr">
        <x:is>
          <x:t xml:space="preserve">Director</x:t>
        </x:is>
      </x:c>
      <x:c r="P29" t="inlineStr">
        <x:is>
          <x:t xml:space="preserve">+639449303635</x:t>
        </x:is>
      </x:c>
      <x:c r="Q29" t="inlineStr">
        <x:is>
          <x:t xml:space="preserve">2024-01-15</x:t>
        </x:is>
      </x:c>
    </x:row>
    <x:row r="30">
      <x:c r="A30" s="10" t="inlineStr">
        <x:is>
          <x:t xml:space="preserve">01100118</x:t>
        </x:is>
      </x:c>
      <x:c r="B30" s="10" t="inlineStr">
        <x:is>
          <x:t xml:space="preserve">Fame Diez</x:t>
        </x:is>
      </x:c>
      <x:c r="C30" s="6" t="inlineStr">
        <x:is>
          <x:t xml:space="preserve">Technical Support Representative</x:t>
        </x:is>
      </x:c>
      <x:c r="D30" s="77" t="n">
        <x:v>17500</x:v>
      </x:c>
      <x:c r="E30" t="inlineStr">
        <x:is>
          <x:t xml:space="preserve">Probationary</x:t>
        </x:is>
      </x:c>
      <x:c r="F30" t="inlineStr">
        <x:is>
          <x:t xml:space="preserve">Talisay City</x:t>
        </x:is>
      </x:c>
      <x:c r="G30" t="inlineStr">
        <x:is>
          <x:t xml:space="preserve">Administration</x:t>
        </x:is>
      </x:c>
      <x:c r="H30" t="inlineStr">
        <x:is>
          <x:t xml:space="preserve">ADM</x:t>
        </x:is>
      </x:c>
      <x:c r="J30" t="inlineStr">
        <x:is>
          <x:t xml:space="preserve">UNIONBANK-707679837796</x:t>
        </x:is>
      </x:c>
      <x:c r="K30" t="inlineStr">
        <x:is>
          <x:t xml:space="preserve">Salaried</x:t>
        </x:is>
      </x:c>
      <x:c r="L30" t="inlineStr">
        <x:is>
          <x:t xml:space="preserve">General</x:t>
        </x:is>
      </x:c>
      <x:c r="M30" t="inlineStr">
        <x:is>
          <x:t xml:space="preserve">A</x:t>
        </x:is>
      </x:c>
      <x:c r="N30" t="inlineStr">
        <x:is>
          <x:t xml:space="preserve">Manager</x:t>
        </x:is>
      </x:c>
      <x:c r="O30" t="inlineStr">
        <x:is>
          <x:t xml:space="preserve">Director</x:t>
        </x:is>
      </x:c>
      <x:c r="P30" t="inlineStr">
        <x:is>
          <x:t xml:space="preserve">+639521304063</x:t>
        </x:is>
      </x:c>
      <x:c r="Q30" t="inlineStr">
        <x:is>
          <x:t xml:space="preserve">2024-01-15</x:t>
        </x:is>
      </x:c>
    </x:row>
    <x:row r="31">
      <x:c r="A31" s="10" t="inlineStr">
        <x:is>
          <x:t xml:space="preserve">01100221</x:t>
        </x:is>
      </x:c>
      <x:c r="B31" s="10" t="inlineStr">
        <x:is>
          <x:t xml:space="preserve">Farrah Jean Vildosola</x:t>
        </x:is>
      </x:c>
      <x:c r="C31" s="6" t="inlineStr">
        <x:is>
          <x:t xml:space="preserve">HR Assistant</x:t>
        </x:is>
      </x:c>
      <x:c r="D31" s="77" t="n">
        <x:v>18500</x:v>
      </x:c>
      <x:c r="E31" t="inlineStr">
        <x:is>
          <x:t xml:space="preserve">Regular</x:t>
        </x:is>
      </x:c>
      <x:c r="F31" t="inlineStr">
        <x:is>
          <x:t xml:space="preserve">Cebu City</x:t>
        </x:is>
      </x:c>
      <x:c r="G31" t="inlineStr">
        <x:is>
          <x:t xml:space="preserve">Quality Assurance</x:t>
        </x:is>
      </x:c>
      <x:c r="H31" t="inlineStr">
        <x:is>
          <x:t xml:space="preserve">QA</x:t>
        </x:is>
      </x:c>
      <x:c r="J31" t="inlineStr">
        <x:is>
          <x:t xml:space="preserve">UNIONBANK-984670428469</x:t>
        </x:is>
      </x:c>
      <x:c r="K31" t="inlineStr">
        <x:is>
          <x:t xml:space="preserve">Salaried</x:t>
        </x:is>
      </x:c>
      <x:c r="L31" t="inlineStr">
        <x:is>
          <x:t xml:space="preserve">General</x:t>
        </x:is>
      </x:c>
      <x:c r="M31" t="inlineStr">
        <x:is>
          <x:t xml:space="preserve">C</x:t>
        </x:is>
      </x:c>
      <x:c r="N31" t="inlineStr">
        <x:is>
          <x:t xml:space="preserve">Manager</x:t>
        </x:is>
      </x:c>
      <x:c r="O31" t="inlineStr">
        <x:is>
          <x:t xml:space="preserve">Director</x:t>
        </x:is>
      </x:c>
      <x:c r="P31" t="inlineStr">
        <x:is>
          <x:t xml:space="preserve">+639556478218</x:t>
        </x:is>
      </x:c>
      <x:c r="Q31" t="inlineStr">
        <x:is>
          <x:t xml:space="preserve">2024-01-15</x:t>
        </x:is>
      </x:c>
    </x:row>
    <x:row r="32">
      <x:c r="A32" s="10" t="inlineStr">
        <x:is>
          <x:t xml:space="preserve">02100119</x:t>
        </x:is>
      </x:c>
      <x:c r="B32" s="10" t="inlineStr">
        <x:is>
          <x:t xml:space="preserve">Ferreh Jane Vilos</x:t>
        </x:is>
      </x:c>
      <x:c r="C32" s="6" t="inlineStr">
        <x:is>
          <x:t xml:space="preserve">IT Support Staff</x:t>
        </x:is>
      </x:c>
      <x:c r="D32" s="77" t="n">
        <x:v>21000</x:v>
      </x:c>
      <x:c r="E32" t="inlineStr">
        <x:is>
          <x:t xml:space="preserve">Probationary</x:t>
        </x:is>
      </x:c>
      <x:c r="F32" t="inlineStr">
        <x:is>
          <x:t xml:space="preserve">Lapu-Lapu City</x:t>
        </x:is>
      </x:c>
      <x:c r="G32" t="inlineStr">
        <x:is>
          <x:t xml:space="preserve">Operations</x:t>
        </x:is>
      </x:c>
      <x:c r="H32" t="inlineStr">
        <x:is>
          <x:t xml:space="preserve">OPS</x:t>
        </x:is>
      </x:c>
      <x:c r="J32" t="inlineStr">
        <x:is>
          <x:t xml:space="preserve">UNIONBANK-658938232984</x:t>
        </x:is>
      </x:c>
      <x:c r="K32" t="inlineStr">
        <x:is>
          <x:t xml:space="preserve">Salaried</x:t>
        </x:is>
      </x:c>
      <x:c r="L32" t="inlineStr">
        <x:is>
          <x:t xml:space="preserve">General</x:t>
        </x:is>
      </x:c>
      <x:c r="M32" t="inlineStr">
        <x:is>
          <x:t xml:space="preserve">A</x:t>
        </x:is>
      </x:c>
      <x:c r="N32" t="inlineStr">
        <x:is>
          <x:t xml:space="preserve">Manager</x:t>
        </x:is>
      </x:c>
      <x:c r="O32" t="inlineStr">
        <x:is>
          <x:t xml:space="preserve">Director</x:t>
        </x:is>
      </x:c>
      <x:c r="P32" t="inlineStr">
        <x:is>
          <x:t xml:space="preserve">+639585465103</x:t>
        </x:is>
      </x:c>
      <x:c r="Q32" t="inlineStr">
        <x:is>
          <x:t xml:space="preserve">2024-01-15</x:t>
        </x:is>
      </x:c>
    </x:row>
    <x:row r="33">
      <x:c r="A33" s="10" t="inlineStr">
        <x:is>
          <x:t xml:space="preserve">02100120</x:t>
        </x:is>
      </x:c>
      <x:c r="B33" s="10" t="inlineStr">
        <x:is>
          <x:t xml:space="preserve">Flint Kaynon Balmadres</x:t>
        </x:is>
      </x:c>
      <x:c r="C33" s="6" t="inlineStr">
        <x:is>
          <x:t xml:space="preserve">HR Assistant</x:t>
        </x:is>
      </x:c>
      <x:c r="D33" s="77" t="n">
        <x:v>17500</x:v>
      </x:c>
      <x:c r="E33" t="inlineStr">
        <x:is>
          <x:t xml:space="preserve">Regular</x:t>
        </x:is>
      </x:c>
      <x:c r="F33" t="inlineStr">
        <x:is>
          <x:t xml:space="preserve">Talisay City</x:t>
        </x:is>
      </x:c>
      <x:c r="G33" t="inlineStr">
        <x:is>
          <x:t xml:space="preserve">Operations</x:t>
        </x:is>
      </x:c>
      <x:c r="H33" t="inlineStr">
        <x:is>
          <x:t xml:space="preserve">OPS</x:t>
        </x:is>
      </x:c>
      <x:c r="J33" t="inlineStr">
        <x:is>
          <x:t xml:space="preserve">UNIONBANK-690116954092</x:t>
        </x:is>
      </x:c>
      <x:c r="K33" t="inlineStr">
        <x:is>
          <x:t xml:space="preserve">Salaried</x:t>
        </x:is>
      </x:c>
      <x:c r="L33" t="inlineStr">
        <x:is>
          <x:t xml:space="preserve">General</x:t>
        </x:is>
      </x:c>
      <x:c r="M33" t="inlineStr">
        <x:is>
          <x:t xml:space="preserve">C</x:t>
        </x:is>
      </x:c>
      <x:c r="N33" t="inlineStr">
        <x:is>
          <x:t xml:space="preserve">Manager</x:t>
        </x:is>
      </x:c>
      <x:c r="O33" t="inlineStr">
        <x:is>
          <x:t xml:space="preserve">Director</x:t>
        </x:is>
      </x:c>
      <x:c r="P33" t="inlineStr">
        <x:is>
          <x:t xml:space="preserve">+639100900404</x:t>
        </x:is>
      </x:c>
      <x:c r="Q33" t="inlineStr">
        <x:is>
          <x:t xml:space="preserve">2024-01-15</x:t>
        </x:is>
      </x:c>
    </x:row>
    <x:row r="34">
      <x:c r="A34" s="10" t="inlineStr">
        <x:is>
          <x:t xml:space="preserve">01100217</x:t>
        </x:is>
      </x:c>
      <x:c r="B34" s="10" t="inlineStr">
        <x:is>
          <x:t xml:space="preserve">Franklyn Jay Talisic</x:t>
        </x:is>
      </x:c>
      <x:c r="C34" s="6" t="inlineStr">
        <x:is>
          <x:t xml:space="preserve">HR Assistant</x:t>
        </x:is>
      </x:c>
      <x:c r="D34" s="77" t="n">
        <x:v>18500</x:v>
      </x:c>
      <x:c r="E34" t="inlineStr">
        <x:is>
          <x:t xml:space="preserve">Regular</x:t>
        </x:is>
      </x:c>
      <x:c r="F34" t="inlineStr">
        <x:is>
          <x:t xml:space="preserve">Cebu City</x:t>
        </x:is>
      </x:c>
      <x:c r="G34" t="inlineStr">
        <x:is>
          <x:t xml:space="preserve">Recruitment</x:t>
        </x:is>
      </x:c>
      <x:c r="H34" t="inlineStr">
        <x:is>
          <x:t xml:space="preserve">REC</x:t>
        </x:is>
      </x:c>
      <x:c r="J34" t="inlineStr">
        <x:is>
          <x:t xml:space="preserve">UNIONBANK-599173035056</x:t>
        </x:is>
      </x:c>
      <x:c r="K34" t="inlineStr">
        <x:is>
          <x:t xml:space="preserve">Salaried</x:t>
        </x:is>
      </x:c>
      <x:c r="L34" t="inlineStr">
        <x:is>
          <x:t xml:space="preserve">General</x:t>
        </x:is>
      </x:c>
      <x:c r="M34" t="inlineStr">
        <x:is>
          <x:t xml:space="preserve">A</x:t>
        </x:is>
      </x:c>
      <x:c r="N34" t="inlineStr">
        <x:is>
          <x:t xml:space="preserve">Manager</x:t>
        </x:is>
      </x:c>
      <x:c r="O34" t="inlineStr">
        <x:is>
          <x:t xml:space="preserve">Director</x:t>
        </x:is>
      </x:c>
      <x:c r="P34" t="inlineStr">
        <x:is>
          <x:t xml:space="preserve">+639559313734</x:t>
        </x:is>
      </x:c>
      <x:c r="Q34" t="inlineStr">
        <x:is>
          <x:t xml:space="preserve">2024-01-15</x:t>
        </x:is>
      </x:c>
    </x:row>
    <x:row r="35">
      <x:c r="A35" s="10" t="inlineStr">
        <x:is>
          <x:t xml:space="preserve">02100121</x:t>
        </x:is>
      </x:c>
      <x:c r="B35" s="10" t="inlineStr">
        <x:is>
          <x:t xml:space="preserve">Fritzyl D. Lorico</x:t>
        </x:is>
      </x:c>
      <x:c r="C35" s="6" t="inlineStr">
        <x:is>
          <x:t xml:space="preserve">HR Assistant</x:t>
        </x:is>
      </x:c>
      <x:c r="D35" s="77" t="n">
        <x:v>22000</x:v>
      </x:c>
      <x:c r="E35" t="inlineStr">
        <x:is>
          <x:t xml:space="preserve">Contractual</x:t>
        </x:is>
      </x:c>
      <x:c r="F35" t="inlineStr">
        <x:is>
          <x:t xml:space="preserve">Mandaue City</x:t>
        </x:is>
      </x:c>
      <x:c r="G35" t="inlineStr">
        <x:is>
          <x:t xml:space="preserve">Human Resources</x:t>
        </x:is>
      </x:c>
      <x:c r="H35" t="inlineStr">
        <x:is>
          <x:t xml:space="preserve">HR</x:t>
        </x:is>
      </x:c>
      <x:c r="J35" t="inlineStr">
        <x:is>
          <x:t xml:space="preserve">UNIONBANK-772656030027</x:t>
        </x:is>
      </x:c>
      <x:c r="K35" t="inlineStr">
        <x:is>
          <x:t xml:space="preserve">Salaried</x:t>
        </x:is>
      </x:c>
      <x:c r="L35" t="inlineStr">
        <x:is>
          <x:t xml:space="preserve">General</x:t>
        </x:is>
      </x:c>
      <x:c r="M35" t="inlineStr">
        <x:is>
          <x:t xml:space="preserve">C</x:t>
        </x:is>
      </x:c>
      <x:c r="N35" t="inlineStr">
        <x:is>
          <x:t xml:space="preserve">Manager</x:t>
        </x:is>
      </x:c>
      <x:c r="O35" t="inlineStr">
        <x:is>
          <x:t xml:space="preserve">Director</x:t>
        </x:is>
      </x:c>
      <x:c r="P35" t="inlineStr">
        <x:is>
          <x:t xml:space="preserve">+639750872828</x:t>
        </x:is>
      </x:c>
      <x:c r="Q35" t="inlineStr">
        <x:is>
          <x:t xml:space="preserve">2024-01-15</x:t>
        </x:is>
      </x:c>
    </x:row>
    <x:row r="36">
      <x:c r="A36" s="10" t="inlineStr">
        <x:is>
          <x:t xml:space="preserve">02100295</x:t>
        </x:is>
      </x:c>
      <x:c r="B36" s="10" t="inlineStr">
        <x:is>
          <x:t xml:space="preserve">Genil Silva</x:t>
        </x:is>
      </x:c>
      <x:c r="C36" s="6" t="inlineStr">
        <x:is>
          <x:t xml:space="preserve">Admin Assistant</x:t>
        </x:is>
      </x:c>
      <x:c r="D36" s="77" t="n">
        <x:v>21000</x:v>
      </x:c>
      <x:c r="E36" t="inlineStr">
        <x:is>
          <x:t xml:space="preserve">Regular</x:t>
        </x:is>
      </x:c>
      <x:c r="F36" t="inlineStr">
        <x:is>
          <x:t xml:space="preserve">Cebu City</x:t>
        </x:is>
      </x:c>
      <x:c r="G36" t="inlineStr">
        <x:is>
          <x:t xml:space="preserve">Administration</x:t>
        </x:is>
      </x:c>
      <x:c r="H36" t="inlineStr">
        <x:is>
          <x:t xml:space="preserve">ADM</x:t>
        </x:is>
      </x:c>
      <x:c r="J36" t="inlineStr">
        <x:is>
          <x:t xml:space="preserve">UNIONBANK-868684251934</x:t>
        </x:is>
      </x:c>
      <x:c r="K36" t="inlineStr">
        <x:is>
          <x:t xml:space="preserve">Salaried</x:t>
        </x:is>
      </x:c>
      <x:c r="L36" t="inlineStr">
        <x:is>
          <x:t xml:space="preserve">General</x:t>
        </x:is>
      </x:c>
      <x:c r="M36" t="inlineStr">
        <x:is>
          <x:t xml:space="preserve">C</x:t>
        </x:is>
      </x:c>
      <x:c r="N36" t="inlineStr">
        <x:is>
          <x:t xml:space="preserve">Manager</x:t>
        </x:is>
      </x:c>
      <x:c r="O36" t="inlineStr">
        <x:is>
          <x:t xml:space="preserve">Director</x:t>
        </x:is>
      </x:c>
      <x:c r="P36" t="inlineStr">
        <x:is>
          <x:t xml:space="preserve">+639955821082</x:t>
        </x:is>
      </x:c>
      <x:c r="Q36" t="inlineStr">
        <x:is>
          <x:t xml:space="preserve">2024-01-15</x:t>
        </x:is>
      </x:c>
    </x:row>
    <x:row r="37">
      <x:c r="A37" s="10" t="inlineStr">
        <x:is>
          <x:t xml:space="preserve">01100123</x:t>
        </x:is>
      </x:c>
      <x:c r="B37" s="10" t="inlineStr">
        <x:is>
          <x:t xml:space="preserve">Gerra Rose Fajardo</x:t>
        </x:is>
      </x:c>
      <x:c r="C37" s="6" t="inlineStr">
        <x:is>
          <x:t xml:space="preserve">Admin Assistant</x:t>
        </x:is>
      </x:c>
      <x:c r="D37" s="77" t="n">
        <x:v>18000</x:v>
      </x:c>
      <x:c r="E37" t="inlineStr">
        <x:is>
          <x:t xml:space="preserve">Regular</x:t>
        </x:is>
      </x:c>
      <x:c r="F37" t="inlineStr">
        <x:is>
          <x:t xml:space="preserve">Cebu City</x:t>
        </x:is>
      </x:c>
      <x:c r="G37" t="inlineStr">
        <x:is>
          <x:t xml:space="preserve">Information Technology</x:t>
        </x:is>
      </x:c>
      <x:c r="H37" t="inlineStr">
        <x:is>
          <x:t xml:space="preserve">IT</x:t>
        </x:is>
      </x:c>
      <x:c r="J37" t="inlineStr">
        <x:is>
          <x:t xml:space="preserve">UNIONBANK-269984382427</x:t>
        </x:is>
      </x:c>
      <x:c r="K37" t="inlineStr">
        <x:is>
          <x:t xml:space="preserve">Salaried</x:t>
        </x:is>
      </x:c>
      <x:c r="L37" t="inlineStr">
        <x:is>
          <x:t xml:space="preserve">General</x:t>
        </x:is>
      </x:c>
      <x:c r="M37" t="inlineStr">
        <x:is>
          <x:t xml:space="preserve">B</x:t>
        </x:is>
      </x:c>
      <x:c r="N37" t="inlineStr">
        <x:is>
          <x:t xml:space="preserve">Manager</x:t>
        </x:is>
      </x:c>
      <x:c r="O37" t="inlineStr">
        <x:is>
          <x:t xml:space="preserve">Director</x:t>
        </x:is>
      </x:c>
      <x:c r="P37" t="inlineStr">
        <x:is>
          <x:t xml:space="preserve">+639779030610</x:t>
        </x:is>
      </x:c>
      <x:c r="Q37" t="inlineStr">
        <x:is>
          <x:t xml:space="preserve">2024-01-15</x:t>
        </x:is>
      </x:c>
    </x:row>
    <x:row r="38">
      <x:c r="A38" s="10" t="inlineStr">
        <x:is>
          <x:t xml:space="preserve">01100222</x:t>
        </x:is>
      </x:c>
      <x:c r="B38" s="10" t="inlineStr">
        <x:is>
          <x:t xml:space="preserve">Glenn Oplado</x:t>
        </x:is>
      </x:c>
      <x:c r="C38" s="6" t="inlineStr">
        <x:is>
          <x:t xml:space="preserve">HR Assistant</x:t>
        </x:is>
      </x:c>
      <x:c r="D38" s="77" t="n">
        <x:v>16000</x:v>
      </x:c>
      <x:c r="E38" t="inlineStr">
        <x:is>
          <x:t xml:space="preserve">Regular</x:t>
        </x:is>
      </x:c>
      <x:c r="F38" t="inlineStr">
        <x:is>
          <x:t xml:space="preserve">Mandaue City</x:t>
        </x:is>
      </x:c>
      <x:c r="G38" t="inlineStr">
        <x:is>
          <x:t xml:space="preserve">Administration</x:t>
        </x:is>
      </x:c>
      <x:c r="H38" t="inlineStr">
        <x:is>
          <x:t xml:space="preserve">ADM</x:t>
        </x:is>
      </x:c>
      <x:c r="J38" t="inlineStr">
        <x:is>
          <x:t xml:space="preserve">UNIONBANK-335026484026</x:t>
        </x:is>
      </x:c>
      <x:c r="K38" t="inlineStr">
        <x:is>
          <x:t xml:space="preserve">Salaried</x:t>
        </x:is>
      </x:c>
      <x:c r="L38" t="inlineStr">
        <x:is>
          <x:t xml:space="preserve">General</x:t>
        </x:is>
      </x:c>
      <x:c r="M38" t="inlineStr">
        <x:is>
          <x:t xml:space="preserve">A</x:t>
        </x:is>
      </x:c>
      <x:c r="N38" t="inlineStr">
        <x:is>
          <x:t xml:space="preserve">Manager</x:t>
        </x:is>
      </x:c>
      <x:c r="O38" t="inlineStr">
        <x:is>
          <x:t xml:space="preserve">Director</x:t>
        </x:is>
      </x:c>
      <x:c r="P38" t="inlineStr">
        <x:is>
          <x:t xml:space="preserve">+639515583442</x:t>
        </x:is>
      </x:c>
      <x:c r="Q38" t="inlineStr">
        <x:is>
          <x:t xml:space="preserve">2024-01-15</x:t>
        </x:is>
      </x:c>
    </x:row>
    <x:row r="39">
      <x:c r="A39" s="10" t="inlineStr">
        <x:is>
          <x:t xml:space="preserve">02100127</x:t>
        </x:is>
      </x:c>
      <x:c r="B39" s="10" t="inlineStr">
        <x:is>
          <x:t xml:space="preserve">Hannah Jane Villegas Nocete</x:t>
        </x:is>
      </x:c>
      <x:c r="C39" s="6" t="inlineStr">
        <x:is>
          <x:t xml:space="preserve">Technical Support Representative</x:t>
        </x:is>
      </x:c>
      <x:c r="D39" s="77" t="n">
        <x:v>15000</x:v>
      </x:c>
      <x:c r="E39" t="inlineStr">
        <x:is>
          <x:t xml:space="preserve">Contractual</x:t>
        </x:is>
      </x:c>
      <x:c r="F39" t="inlineStr">
        <x:is>
          <x:t xml:space="preserve">Talisay City</x:t>
        </x:is>
      </x:c>
      <x:c r="G39" t="inlineStr">
        <x:is>
          <x:t xml:space="preserve">Recruitment</x:t>
        </x:is>
      </x:c>
      <x:c r="H39" t="inlineStr">
        <x:is>
          <x:t xml:space="preserve">REC</x:t>
        </x:is>
      </x:c>
      <x:c r="J39" t="inlineStr">
        <x:is>
          <x:t xml:space="preserve">UNIONBANK-387655778818</x:t>
        </x:is>
      </x:c>
      <x:c r="K39" t="inlineStr">
        <x:is>
          <x:t xml:space="preserve">Salaried</x:t>
        </x:is>
      </x:c>
      <x:c r="L39" t="inlineStr">
        <x:is>
          <x:t xml:space="preserve">General</x:t>
        </x:is>
      </x:c>
      <x:c r="M39" t="inlineStr">
        <x:is>
          <x:t xml:space="preserve">A</x:t>
        </x:is>
      </x:c>
      <x:c r="N39" t="inlineStr">
        <x:is>
          <x:t xml:space="preserve">Manager</x:t>
        </x:is>
      </x:c>
      <x:c r="O39" t="inlineStr">
        <x:is>
          <x:t xml:space="preserve">Director</x:t>
        </x:is>
      </x:c>
      <x:c r="P39" t="inlineStr">
        <x:is>
          <x:t xml:space="preserve">+639736444686</x:t>
        </x:is>
      </x:c>
      <x:c r="Q39" t="inlineStr">
        <x:is>
          <x:t xml:space="preserve">2024-01-15</x:t>
        </x:is>
      </x:c>
    </x:row>
    <x:row r="40">
      <x:c r="A40" s="10" t="inlineStr">
        <x:is>
          <x:t xml:space="preserve">02100128</x:t>
        </x:is>
      </x:c>
      <x:c r="B40" s="10" t="inlineStr">
        <x:is>
          <x:t xml:space="preserve">Harlley D. Alos</x:t>
        </x:is>
      </x:c>
      <x:c r="C40" s="6" t="inlineStr">
        <x:is>
          <x:t xml:space="preserve">Technical Support Representative</x:t>
        </x:is>
      </x:c>
      <x:c r="D40" s="77" t="n">
        <x:v>21000</x:v>
      </x:c>
      <x:c r="E40" t="inlineStr">
        <x:is>
          <x:t xml:space="preserve">Contractual</x:t>
        </x:is>
      </x:c>
      <x:c r="F40" t="inlineStr">
        <x:is>
          <x:t xml:space="preserve">Mandaue City</x:t>
        </x:is>
      </x:c>
      <x:c r="G40" t="inlineStr">
        <x:is>
          <x:t xml:space="preserve">Human Resources</x:t>
        </x:is>
      </x:c>
      <x:c r="H40" t="inlineStr">
        <x:is>
          <x:t xml:space="preserve">HR</x:t>
        </x:is>
      </x:c>
      <x:c r="J40" t="inlineStr">
        <x:is>
          <x:t xml:space="preserve">UNIONBANK-723968883856</x:t>
        </x:is>
      </x:c>
      <x:c r="K40" t="inlineStr">
        <x:is>
          <x:t xml:space="preserve">Salaried</x:t>
        </x:is>
      </x:c>
      <x:c r="L40" t="inlineStr">
        <x:is>
          <x:t xml:space="preserve">General</x:t>
        </x:is>
      </x:c>
      <x:c r="M40" t="inlineStr">
        <x:is>
          <x:t xml:space="preserve">C</x:t>
        </x:is>
      </x:c>
      <x:c r="N40" t="inlineStr">
        <x:is>
          <x:t xml:space="preserve">Manager</x:t>
        </x:is>
      </x:c>
      <x:c r="O40" t="inlineStr">
        <x:is>
          <x:t xml:space="preserve">Director</x:t>
        </x:is>
      </x:c>
      <x:c r="P40" t="inlineStr">
        <x:is>
          <x:t xml:space="preserve">+639986018451</x:t>
        </x:is>
      </x:c>
      <x:c r="Q40" t="inlineStr">
        <x:is>
          <x:t xml:space="preserve">2024-01-15</x:t>
        </x:is>
      </x:c>
    </x:row>
    <x:row r="41">
      <x:c r="A41" s="10" t="inlineStr">
        <x:is>
          <x:t xml:space="preserve">02100202</x:t>
        </x:is>
      </x:c>
      <x:c r="B41" s="10" t="inlineStr">
        <x:is>
          <x:t xml:space="preserve">Heide Camuta</x:t>
        </x:is>
      </x:c>
      <x:c r="C41" s="6" t="inlineStr">
        <x:is>
          <x:t xml:space="preserve">Recruitment Staff</x:t>
        </x:is>
      </x:c>
      <x:c r="D41" s="77" t="n">
        <x:v>18500</x:v>
      </x:c>
      <x:c r="E41" t="inlineStr">
        <x:is>
          <x:t xml:space="preserve">Regular</x:t>
        </x:is>
      </x:c>
      <x:c r="F41" t="inlineStr">
        <x:is>
          <x:t xml:space="preserve">Lapu-Lapu City</x:t>
        </x:is>
      </x:c>
      <x:c r="G41" t="inlineStr">
        <x:is>
          <x:t xml:space="preserve">Administration</x:t>
        </x:is>
      </x:c>
      <x:c r="H41" t="inlineStr">
        <x:is>
          <x:t xml:space="preserve">ADM</x:t>
        </x:is>
      </x:c>
      <x:c r="J41" t="inlineStr">
        <x:is>
          <x:t xml:space="preserve">UNIONBANK-612925298114</x:t>
        </x:is>
      </x:c>
      <x:c r="K41" t="inlineStr">
        <x:is>
          <x:t xml:space="preserve">Salaried</x:t>
        </x:is>
      </x:c>
      <x:c r="L41" t="inlineStr">
        <x:is>
          <x:t xml:space="preserve">General</x:t>
        </x:is>
      </x:c>
      <x:c r="M41" t="inlineStr">
        <x:is>
          <x:t xml:space="preserve">B</x:t>
        </x:is>
      </x:c>
      <x:c r="N41" t="inlineStr">
        <x:is>
          <x:t xml:space="preserve">Manager</x:t>
        </x:is>
      </x:c>
      <x:c r="O41" t="inlineStr">
        <x:is>
          <x:t xml:space="preserve">Director</x:t>
        </x:is>
      </x:c>
      <x:c r="P41" t="inlineStr">
        <x:is>
          <x:t xml:space="preserve">+639491617582</x:t>
        </x:is>
      </x:c>
      <x:c r="Q41" t="inlineStr">
        <x:is>
          <x:t xml:space="preserve">2024-01-15</x:t>
        </x:is>
      </x:c>
    </x:row>
    <x:row r="42">
      <x:c r="A42" s="10" t="inlineStr">
        <x:is>
          <x:t xml:space="preserve">01100129</x:t>
        </x:is>
      </x:c>
      <x:c r="B42" s="10" t="inlineStr">
        <x:is>
          <x:t xml:space="preserve">Ingrid Irene Garcia</x:t>
        </x:is>
      </x:c>
      <x:c r="C42" s="6" t="inlineStr">
        <x:is>
          <x:t xml:space="preserve">Operations Assistant</x:t>
        </x:is>
      </x:c>
      <x:c r="D42" s="77" t="n">
        <x:v>17500</x:v>
      </x:c>
      <x:c r="E42" t="inlineStr">
        <x:is>
          <x:t xml:space="preserve">Regular</x:t>
        </x:is>
      </x:c>
      <x:c r="F42" t="inlineStr">
        <x:is>
          <x:t xml:space="preserve">Mandaue City</x:t>
        </x:is>
      </x:c>
      <x:c r="G42" t="inlineStr">
        <x:is>
          <x:t xml:space="preserve">Quality Assurance</x:t>
        </x:is>
      </x:c>
      <x:c r="H42" t="inlineStr">
        <x:is>
          <x:t xml:space="preserve">QA</x:t>
        </x:is>
      </x:c>
      <x:c r="J42" t="inlineStr">
        <x:is>
          <x:t xml:space="preserve">UNIONBANK-117042623373</x:t>
        </x:is>
      </x:c>
      <x:c r="K42" t="inlineStr">
        <x:is>
          <x:t xml:space="preserve">Salaried</x:t>
        </x:is>
      </x:c>
      <x:c r="L42" t="inlineStr">
        <x:is>
          <x:t xml:space="preserve">General</x:t>
        </x:is>
      </x:c>
      <x:c r="M42" t="inlineStr">
        <x:is>
          <x:t xml:space="preserve">C</x:t>
        </x:is>
      </x:c>
      <x:c r="N42" t="inlineStr">
        <x:is>
          <x:t xml:space="preserve">Manager</x:t>
        </x:is>
      </x:c>
      <x:c r="O42" t="inlineStr">
        <x:is>
          <x:t xml:space="preserve">Director</x:t>
        </x:is>
      </x:c>
      <x:c r="P42" t="inlineStr">
        <x:is>
          <x:t xml:space="preserve">+639696044279</x:t>
        </x:is>
      </x:c>
      <x:c r="Q42" t="inlineStr">
        <x:is>
          <x:t xml:space="preserve">2024-01-15</x:t>
        </x:is>
      </x:c>
    </x:row>
    <x:row r="43">
      <x:c r="A43" s="10" t="inlineStr">
        <x:is>
          <x:t xml:space="preserve">01100273</x:t>
        </x:is>
      </x:c>
      <x:c r="B43" s="10" t="inlineStr">
        <x:is>
          <x:t xml:space="preserve">Ira Niña Casiño</x:t>
        </x:is>
      </x:c>
      <x:c r="C43" s="6" t="inlineStr">
        <x:is>
          <x:t xml:space="preserve">HR Assistant</x:t>
        </x:is>
      </x:c>
      <x:c r="D43" s="77" t="n">
        <x:v>17500</x:v>
      </x:c>
      <x:c r="E43" t="inlineStr">
        <x:is>
          <x:t xml:space="preserve">Contractual</x:t>
        </x:is>
      </x:c>
      <x:c r="F43" t="inlineStr">
        <x:is>
          <x:t xml:space="preserve">Lapu-Lapu City</x:t>
        </x:is>
      </x:c>
      <x:c r="G43" t="inlineStr">
        <x:is>
          <x:t xml:space="preserve">Finance</x:t>
        </x:is>
      </x:c>
      <x:c r="H43" t="inlineStr">
        <x:is>
          <x:t xml:space="preserve">FIN</x:t>
        </x:is>
      </x:c>
      <x:c r="J43" t="inlineStr">
        <x:is>
          <x:t xml:space="preserve">UNIONBANK-336846145506</x:t>
        </x:is>
      </x:c>
      <x:c r="K43" t="inlineStr">
        <x:is>
          <x:t xml:space="preserve">Salaried</x:t>
        </x:is>
      </x:c>
      <x:c r="L43" t="inlineStr">
        <x:is>
          <x:t xml:space="preserve">General</x:t>
        </x:is>
      </x:c>
      <x:c r="M43" t="inlineStr">
        <x:is>
          <x:t xml:space="preserve">C</x:t>
        </x:is>
      </x:c>
      <x:c r="N43" t="inlineStr">
        <x:is>
          <x:t xml:space="preserve">Manager</x:t>
        </x:is>
      </x:c>
      <x:c r="O43" t="inlineStr">
        <x:is>
          <x:t xml:space="preserve">Director</x:t>
        </x:is>
      </x:c>
      <x:c r="P43" t="inlineStr">
        <x:is>
          <x:t xml:space="preserve">+639696137724</x:t>
        </x:is>
      </x:c>
      <x:c r="Q43" t="inlineStr">
        <x:is>
          <x:t xml:space="preserve">2024-01-15</x:t>
        </x:is>
      </x:c>
    </x:row>
    <x:row r="44">
      <x:c r="A44" s="10" t="inlineStr">
        <x:is>
          <x:t xml:space="preserve">02100130</x:t>
        </x:is>
      </x:c>
      <x:c r="B44" s="10" t="inlineStr">
        <x:is>
          <x:t xml:space="preserve">Jafferson Sojor</x:t>
        </x:is>
      </x:c>
      <x:c r="C44" s="6" t="inlineStr">
        <x:is>
          <x:t xml:space="preserve">IT Support Staff</x:t>
        </x:is>
      </x:c>
      <x:c r="D44" s="77" t="n">
        <x:v>18000</x:v>
      </x:c>
      <x:c r="E44" t="inlineStr">
        <x:is>
          <x:t xml:space="preserve">Regular</x:t>
        </x:is>
      </x:c>
      <x:c r="F44" t="inlineStr">
        <x:is>
          <x:t xml:space="preserve">Mandaue City</x:t>
        </x:is>
      </x:c>
      <x:c r="G44" t="inlineStr">
        <x:is>
          <x:t xml:space="preserve">Human Resources</x:t>
        </x:is>
      </x:c>
      <x:c r="H44" t="inlineStr">
        <x:is>
          <x:t xml:space="preserve">HR</x:t>
        </x:is>
      </x:c>
      <x:c r="J44" t="inlineStr">
        <x:is>
          <x:t xml:space="preserve">UNIONBANK-308439757217</x:t>
        </x:is>
      </x:c>
      <x:c r="K44" t="inlineStr">
        <x:is>
          <x:t xml:space="preserve">Salaried</x:t>
        </x:is>
      </x:c>
      <x:c r="L44" t="inlineStr">
        <x:is>
          <x:t xml:space="preserve">General</x:t>
        </x:is>
      </x:c>
      <x:c r="M44" t="inlineStr">
        <x:is>
          <x:t xml:space="preserve">A</x:t>
        </x:is>
      </x:c>
      <x:c r="N44" t="inlineStr">
        <x:is>
          <x:t xml:space="preserve">Manager</x:t>
        </x:is>
      </x:c>
      <x:c r="O44" t="inlineStr">
        <x:is>
          <x:t xml:space="preserve">Director</x:t>
        </x:is>
      </x:c>
      <x:c r="P44" t="inlineStr">
        <x:is>
          <x:t xml:space="preserve">+639409092133</x:t>
        </x:is>
      </x:c>
      <x:c r="Q44" t="inlineStr">
        <x:is>
          <x:t xml:space="preserve">2024-01-15</x:t>
        </x:is>
      </x:c>
    </x:row>
    <x:row r="45">
      <x:c r="A45" s="10" t="inlineStr">
        <x:is>
          <x:t xml:space="preserve">01100131</x:t>
        </x:is>
      </x:c>
      <x:c r="B45" s="10" t="inlineStr">
        <x:is>
          <x:t xml:space="preserve">James Anthony Adolfo</x:t>
        </x:is>
      </x:c>
      <x:c r="C45" s="6" t="inlineStr">
        <x:is>
          <x:t xml:space="preserve">Technical Support Representative</x:t>
        </x:is>
      </x:c>
      <x:c r="D45" s="77" t="n">
        <x:v>17000</x:v>
      </x:c>
      <x:c r="E45" t="inlineStr">
        <x:is>
          <x:t xml:space="preserve">Regular</x:t>
        </x:is>
      </x:c>
      <x:c r="F45" t="inlineStr">
        <x:is>
          <x:t xml:space="preserve">Mandaue City</x:t>
        </x:is>
      </x:c>
      <x:c r="G45" t="inlineStr">
        <x:is>
          <x:t xml:space="preserve">Administration</x:t>
        </x:is>
      </x:c>
      <x:c r="H45" t="inlineStr">
        <x:is>
          <x:t xml:space="preserve">ADM</x:t>
        </x:is>
      </x:c>
      <x:c r="J45" t="inlineStr">
        <x:is>
          <x:t xml:space="preserve">UNIONBANK-717024816392</x:t>
        </x:is>
      </x:c>
      <x:c r="K45" t="inlineStr">
        <x:is>
          <x:t xml:space="preserve">Salaried</x:t>
        </x:is>
      </x:c>
      <x:c r="L45" t="inlineStr">
        <x:is>
          <x:t xml:space="preserve">General</x:t>
        </x:is>
      </x:c>
      <x:c r="M45" t="inlineStr">
        <x:is>
          <x:t xml:space="preserve">B</x:t>
        </x:is>
      </x:c>
      <x:c r="N45" t="inlineStr">
        <x:is>
          <x:t xml:space="preserve">Manager</x:t>
        </x:is>
      </x:c>
      <x:c r="O45" t="inlineStr">
        <x:is>
          <x:t xml:space="preserve">Director</x:t>
        </x:is>
      </x:c>
      <x:c r="P45" t="inlineStr">
        <x:is>
          <x:t xml:space="preserve">+639296204121</x:t>
        </x:is>
      </x:c>
      <x:c r="Q45" t="inlineStr">
        <x:is>
          <x:t xml:space="preserve">2024-01-15</x:t>
        </x:is>
      </x:c>
    </x:row>
    <x:row r="46">
      <x:c r="A46" s="10" t="inlineStr">
        <x:is>
          <x:t xml:space="preserve">02100132</x:t>
        </x:is>
      </x:c>
      <x:c r="B46" s="10" t="inlineStr">
        <x:is>
          <x:t xml:space="preserve">James Mitchell E. Monares</x:t>
        </x:is>
      </x:c>
      <x:c r="C46" s="6" t="inlineStr">
        <x:is>
          <x:t xml:space="preserve">Payroll Assistant</x:t>
        </x:is>
      </x:c>
      <x:c r="D46" s="77" t="n">
        <x:v>14500</x:v>
      </x:c>
      <x:c r="E46" t="inlineStr">
        <x:is>
          <x:t xml:space="preserve">Regular</x:t>
        </x:is>
      </x:c>
      <x:c r="F46" t="inlineStr">
        <x:is>
          <x:t xml:space="preserve">Cebu City</x:t>
        </x:is>
      </x:c>
      <x:c r="G46" t="inlineStr">
        <x:is>
          <x:t xml:space="preserve">Human Resources</x:t>
        </x:is>
      </x:c>
      <x:c r="H46" t="inlineStr">
        <x:is>
          <x:t xml:space="preserve">HR</x:t>
        </x:is>
      </x:c>
      <x:c r="J46" t="inlineStr">
        <x:is>
          <x:t xml:space="preserve">UNIONBANK-300387047264</x:t>
        </x:is>
      </x:c>
      <x:c r="K46" t="inlineStr">
        <x:is>
          <x:t xml:space="preserve">Salaried</x:t>
        </x:is>
      </x:c>
      <x:c r="L46" t="inlineStr">
        <x:is>
          <x:t xml:space="preserve">General</x:t>
        </x:is>
      </x:c>
      <x:c r="M46" t="inlineStr">
        <x:is>
          <x:t xml:space="preserve">C</x:t>
        </x:is>
      </x:c>
      <x:c r="N46" t="inlineStr">
        <x:is>
          <x:t xml:space="preserve">Manager</x:t>
        </x:is>
      </x:c>
      <x:c r="O46" t="inlineStr">
        <x:is>
          <x:t xml:space="preserve">Director</x:t>
        </x:is>
      </x:c>
      <x:c r="P46" t="inlineStr">
        <x:is>
          <x:t xml:space="preserve">+639743004768</x:t>
        </x:is>
      </x:c>
      <x:c r="Q46" t="inlineStr">
        <x:is>
          <x:t xml:space="preserve">2024-01-15</x:t>
        </x:is>
      </x:c>
    </x:row>
    <x:row r="47">
      <x:c r="A47" s="10" t="inlineStr">
        <x:is>
          <x:t xml:space="preserve">02100133</x:t>
        </x:is>
      </x:c>
      <x:c r="B47" s="10" t="inlineStr">
        <x:is>
          <x:t xml:space="preserve">Janely Nayon</x:t>
        </x:is>
      </x:c>
      <x:c r="C47" s="6" t="inlineStr">
        <x:is>
          <x:t xml:space="preserve">Technical Support Representative</x:t>
        </x:is>
      </x:c>
      <x:c r="D47" s="77" t="n">
        <x:v>14500</x:v>
      </x:c>
      <x:c r="E47" t="inlineStr">
        <x:is>
          <x:t xml:space="preserve">Probationary</x:t>
        </x:is>
      </x:c>
      <x:c r="F47" t="inlineStr">
        <x:is>
          <x:t xml:space="preserve">Cebu City</x:t>
        </x:is>
      </x:c>
      <x:c r="G47" t="inlineStr">
        <x:is>
          <x:t xml:space="preserve">Administration</x:t>
        </x:is>
      </x:c>
      <x:c r="H47" t="inlineStr">
        <x:is>
          <x:t xml:space="preserve">ADM</x:t>
        </x:is>
      </x:c>
      <x:c r="J47" t="inlineStr">
        <x:is>
          <x:t xml:space="preserve">UNIONBANK-213955364725</x:t>
        </x:is>
      </x:c>
      <x:c r="K47" t="inlineStr">
        <x:is>
          <x:t xml:space="preserve">Salaried</x:t>
        </x:is>
      </x:c>
      <x:c r="L47" t="inlineStr">
        <x:is>
          <x:t xml:space="preserve">General</x:t>
        </x:is>
      </x:c>
      <x:c r="M47" t="inlineStr">
        <x:is>
          <x:t xml:space="preserve">A</x:t>
        </x:is>
      </x:c>
      <x:c r="N47" t="inlineStr">
        <x:is>
          <x:t xml:space="preserve">Manager</x:t>
        </x:is>
      </x:c>
      <x:c r="O47" t="inlineStr">
        <x:is>
          <x:t xml:space="preserve">Director</x:t>
        </x:is>
      </x:c>
      <x:c r="P47" t="inlineStr">
        <x:is>
          <x:t xml:space="preserve">+639777716477</x:t>
        </x:is>
      </x:c>
      <x:c r="Q47" t="inlineStr">
        <x:is>
          <x:t xml:space="preserve">2024-01-15</x:t>
        </x:is>
      </x:c>
    </x:row>
    <x:row r="48">
      <x:c r="A48" s="10" t="inlineStr">
        <x:is>
          <x:t xml:space="preserve">01200134</x:t>
        </x:is>
      </x:c>
      <x:c r="B48" s="10" t="inlineStr">
        <x:is>
          <x:t xml:space="preserve">Jarren Legaspino</x:t>
        </x:is>
      </x:c>
      <x:c r="C48" s="6" t="inlineStr">
        <x:is>
          <x:t xml:space="preserve">Payroll Assistant</x:t>
        </x:is>
      </x:c>
      <x:c r="D48" s="77" t="n">
        <x:v>16500</x:v>
      </x:c>
      <x:c r="E48" t="inlineStr">
        <x:is>
          <x:t xml:space="preserve">Contractual</x:t>
        </x:is>
      </x:c>
      <x:c r="F48" t="inlineStr">
        <x:is>
          <x:t xml:space="preserve">Talisay City</x:t>
        </x:is>
      </x:c>
      <x:c r="G48" t="inlineStr">
        <x:is>
          <x:t xml:space="preserve">Human Resources</x:t>
        </x:is>
      </x:c>
      <x:c r="H48" t="inlineStr">
        <x:is>
          <x:t xml:space="preserve">HR</x:t>
        </x:is>
      </x:c>
      <x:c r="J48" t="inlineStr">
        <x:is>
          <x:t xml:space="preserve">UNIONBANK-660729698773</x:t>
        </x:is>
      </x:c>
      <x:c r="K48" t="inlineStr">
        <x:is>
          <x:t xml:space="preserve">Salaried</x:t>
        </x:is>
      </x:c>
      <x:c r="L48" t="inlineStr">
        <x:is>
          <x:t xml:space="preserve">General</x:t>
        </x:is>
      </x:c>
      <x:c r="M48" t="inlineStr">
        <x:is>
          <x:t xml:space="preserve">A</x:t>
        </x:is>
      </x:c>
      <x:c r="N48" t="inlineStr">
        <x:is>
          <x:t xml:space="preserve">Manager</x:t>
        </x:is>
      </x:c>
      <x:c r="O48" t="inlineStr">
        <x:is>
          <x:t xml:space="preserve">Director</x:t>
        </x:is>
      </x:c>
      <x:c r="P48" t="inlineStr">
        <x:is>
          <x:t xml:space="preserve">+639117369747</x:t>
        </x:is>
      </x:c>
      <x:c r="Q48" t="inlineStr">
        <x:is>
          <x:t xml:space="preserve">2024-01-15</x:t>
        </x:is>
      </x:c>
    </x:row>
    <x:row r="49">
      <x:c r="A49" s="10" t="inlineStr">
        <x:is>
          <x:t xml:space="preserve">01100254</x:t>
        </x:is>
      </x:c>
      <x:c r="B49" s="10" t="inlineStr">
        <x:is>
          <x:t xml:space="preserve">Jay Michael Decepolo</x:t>
        </x:is>
      </x:c>
      <x:c r="C49" s="6" t="inlineStr">
        <x:is>
          <x:t xml:space="preserve">IT Support Staff</x:t>
        </x:is>
      </x:c>
      <x:c r="D49" s="77" t="n">
        <x:v>15500</x:v>
      </x:c>
      <x:c r="E49" t="inlineStr">
        <x:is>
          <x:t xml:space="preserve">Contractual</x:t>
        </x:is>
      </x:c>
      <x:c r="F49" t="inlineStr">
        <x:is>
          <x:t xml:space="preserve">Talisay City</x:t>
        </x:is>
      </x:c>
      <x:c r="G49" t="inlineStr">
        <x:is>
          <x:t xml:space="preserve">Human Resources</x:t>
        </x:is>
      </x:c>
      <x:c r="H49" t="inlineStr">
        <x:is>
          <x:t xml:space="preserve">HR</x:t>
        </x:is>
      </x:c>
      <x:c r="J49" t="inlineStr">
        <x:is>
          <x:t xml:space="preserve">UNIONBANK-648966815688</x:t>
        </x:is>
      </x:c>
      <x:c r="K49" t="inlineStr">
        <x:is>
          <x:t xml:space="preserve">Salaried</x:t>
        </x:is>
      </x:c>
      <x:c r="L49" t="inlineStr">
        <x:is>
          <x:t xml:space="preserve">General</x:t>
        </x:is>
      </x:c>
      <x:c r="M49" t="inlineStr">
        <x:is>
          <x:t xml:space="preserve">A</x:t>
        </x:is>
      </x:c>
      <x:c r="N49" t="inlineStr">
        <x:is>
          <x:t xml:space="preserve">Manager</x:t>
        </x:is>
      </x:c>
      <x:c r="O49" t="inlineStr">
        <x:is>
          <x:t xml:space="preserve">Director</x:t>
        </x:is>
      </x:c>
      <x:c r="P49" t="inlineStr">
        <x:is>
          <x:t xml:space="preserve">+639807564333</x:t>
        </x:is>
      </x:c>
      <x:c r="Q49" t="inlineStr">
        <x:is>
          <x:t xml:space="preserve">2024-01-15</x:t>
        </x:is>
      </x:c>
    </x:row>
    <x:row r="50">
      <x:c r="A50" s="10" t="inlineStr">
        <x:is>
          <x:t xml:space="preserve">02100135</x:t>
        </x:is>
      </x:c>
      <x:c r="B50" s="10" t="inlineStr">
        <x:is>
          <x:t xml:space="preserve">Jay Pee Antinero</x:t>
        </x:is>
      </x:c>
      <x:c r="C50" s="6" t="inlineStr">
        <x:is>
          <x:t xml:space="preserve">Recruitment Staff</x:t>
        </x:is>
      </x:c>
      <x:c r="D50" s="77" t="n">
        <x:v>21000</x:v>
      </x:c>
      <x:c r="E50" t="inlineStr">
        <x:is>
          <x:t xml:space="preserve">Probationary</x:t>
        </x:is>
      </x:c>
      <x:c r="F50" t="inlineStr">
        <x:is>
          <x:t xml:space="preserve">Mandaue City</x:t>
        </x:is>
      </x:c>
      <x:c r="G50" t="inlineStr">
        <x:is>
          <x:t xml:space="preserve">Operations</x:t>
        </x:is>
      </x:c>
      <x:c r="H50" t="inlineStr">
        <x:is>
          <x:t xml:space="preserve">OPS</x:t>
        </x:is>
      </x:c>
      <x:c r="J50" t="inlineStr">
        <x:is>
          <x:t xml:space="preserve">UNIONBANK-857349774774</x:t>
        </x:is>
      </x:c>
      <x:c r="K50" t="inlineStr">
        <x:is>
          <x:t xml:space="preserve">Salaried</x:t>
        </x:is>
      </x:c>
      <x:c r="L50" t="inlineStr">
        <x:is>
          <x:t xml:space="preserve">General</x:t>
        </x:is>
      </x:c>
      <x:c r="M50" t="inlineStr">
        <x:is>
          <x:t xml:space="preserve">B</x:t>
        </x:is>
      </x:c>
      <x:c r="N50" t="inlineStr">
        <x:is>
          <x:t xml:space="preserve">Manager</x:t>
        </x:is>
      </x:c>
      <x:c r="O50" t="inlineStr">
        <x:is>
          <x:t xml:space="preserve">Director</x:t>
        </x:is>
      </x:c>
      <x:c r="P50" t="inlineStr">
        <x:is>
          <x:t xml:space="preserve">+639483680032</x:t>
        </x:is>
      </x:c>
      <x:c r="Q50" t="inlineStr">
        <x:is>
          <x:t xml:space="preserve">2024-01-15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4.44140625" defaultRowHeight="14.399999618530273"/>
  <x:cols>
    <x:col min="1" max="1" width="10.5546875" style="71" customWidth="1"/>
    <x:col min="2" max="2" width="29" style="71" customWidth="1"/>
  </x:cols>
  <x:sheetData>
    <x:row r="1" s="62" customFormat="1">
      <x:c r="A1" s="59" t="inlineStr">
        <x:is>
          <x:t xml:space="preserve">Emp ID</x:t>
        </x:is>
      </x:c>
      <x:c r="B1" s="59" t="inlineStr">
        <x:is>
          <x:t xml:space="preserve">Employee Name</x:t>
        </x:is>
      </x:c>
      <x:c r="C1" s="62" t="inlineStr">
        <x:is>
          <x:t xml:space="preserve">Position</x:t>
        </x:is>
      </x:c>
      <x:c r="D1" s="62" t="inlineStr">
        <x:is>
          <x:t xml:space="preserve">Salary</x:t>
        </x:is>
      </x:c>
      <x:c r="E1" s="62" t="inlineStr">
        <x:is>
          <x:t xml:space="preserve">Status</x:t>
        </x:is>
      </x:c>
      <x:c r="F1" s="62" t="inlineStr">
        <x:is>
          <x:t xml:space="preserve">Site Location</x:t>
        </x:is>
      </x:c>
      <x:c r="G1" s="62" t="inlineStr">
        <x:is>
          <x:t xml:space="preserve">Department Name</x:t>
        </x:is>
      </x:c>
      <x:c r="H1" s="63" t="inlineStr">
        <x:is>
          <x:t xml:space="preserve">Department Code</x:t>
        </x:is>
      </x:c>
      <x:c r="I1" s="62" t="inlineStr">
        <x:is>
          <x:t xml:space="preserve">Email</x:t>
        </x:is>
      </x:c>
    </x:row>
    <x:row r="2">
      <x:c r="A2" s="10" t="inlineStr">
        <x:is>
          <x:t xml:space="preserve">01100240</x:t>
        </x:is>
      </x:c>
      <x:c r="B2" s="10" t="inlineStr">
        <x:is>
          <x:t xml:space="preserve">Abegail Mandras</x:t>
        </x:is>
      </x:c>
      <x:c r="C2" s="6" t="inlineStr">
        <x:is>
          <x:t xml:space="preserve">Technical Support Representative</x:t>
        </x:is>
      </x:c>
      <x:c r="D2" s="77" t="n">
        <x:v>14500</x:v>
      </x:c>
      <x:c r="E2" t="inlineStr">
        <x:is>
          <x:t xml:space="preserve">Contractual</x:t>
        </x:is>
      </x:c>
      <x:c r="F2" t="inlineStr">
        <x:is>
          <x:t xml:space="preserve">Lapu-Lapu City</x:t>
        </x:is>
      </x:c>
      <x:c r="G2" t="inlineStr">
        <x:is>
          <x:t xml:space="preserve">Human Resources</x:t>
        </x:is>
      </x:c>
      <x:c r="H2" t="inlineStr">
        <x:is>
          <x:t xml:space="preserve">HR</x:t>
        </x:is>
      </x:c>
    </x:row>
    <x:row r="3">
      <x:c r="A3" s="10" t="inlineStr">
        <x:is>
          <x:t xml:space="preserve">01100277</x:t>
        </x:is>
      </x:c>
      <x:c r="B3" s="10" t="inlineStr">
        <x:is>
          <x:t xml:space="preserve">Adrian Lawat</x:t>
        </x:is>
      </x:c>
      <x:c r="C3" s="6" t="inlineStr">
        <x:is>
          <x:t xml:space="preserve">Payroll Assistant</x:t>
        </x:is>
      </x:c>
      <x:c r="D3" s="77" t="n">
        <x:v>15500</x:v>
      </x:c>
      <x:c r="E3" t="inlineStr">
        <x:is>
          <x:t xml:space="preserve">Contractual</x:t>
        </x:is>
      </x:c>
      <x:c r="F3" t="inlineStr">
        <x:is>
          <x:t xml:space="preserve">Cebu City</x:t>
        </x:is>
      </x:c>
      <x:c r="G3" t="inlineStr">
        <x:is>
          <x:t xml:space="preserve">Quality Assurance</x:t>
        </x:is>
      </x:c>
      <x:c r="H3" t="inlineStr">
        <x:is>
          <x:t xml:space="preserve">QA</x:t>
        </x:is>
      </x:c>
    </x:row>
    <x:row r="4">
      <x:c r="A4" s="10" t="inlineStr">
        <x:is>
          <x:t xml:space="preserve">02100100</x:t>
        </x:is>
      </x:c>
      <x:c r="B4" s="10" t="inlineStr">
        <x:is>
          <x:t xml:space="preserve">Aillen Joy Largo</x:t>
        </x:is>
      </x:c>
      <x:c r="C4" s="6" t="inlineStr">
        <x:is>
          <x:t xml:space="preserve">IT Support Staff</x:t>
        </x:is>
      </x:c>
      <x:c r="D4" s="77" t="n">
        <x:v>15000</x:v>
      </x:c>
      <x:c r="E4" t="inlineStr">
        <x:is>
          <x:t xml:space="preserve">Contractual</x:t>
        </x:is>
      </x:c>
      <x:c r="F4" t="inlineStr">
        <x:is>
          <x:t xml:space="preserve">Talisay City</x:t>
        </x:is>
      </x:c>
      <x:c r="G4" t="inlineStr">
        <x:is>
          <x:t xml:space="preserve">Operations</x:t>
        </x:is>
      </x:c>
      <x:c r="H4" t="inlineStr">
        <x:is>
          <x:t xml:space="preserve">OPS</x:t>
        </x:is>
      </x:c>
    </x:row>
    <x:row r="5">
      <x:c r="A5" s="10" t="inlineStr">
        <x:is>
          <x:t xml:space="preserve">01100328</x:t>
        </x:is>
      </x:c>
      <x:c r="B5" s="10" t="inlineStr">
        <x:is>
          <x:t xml:space="preserve">Al Mario Bahala</x:t>
        </x:is>
      </x:c>
      <x:c r="C5" s="6" t="inlineStr">
        <x:is>
          <x:t xml:space="preserve">Customer Service Representative</x:t>
        </x:is>
      </x:c>
      <x:c r="D5" s="77" t="n">
        <x:v>15000</x:v>
      </x:c>
      <x:c r="E5" t="inlineStr">
        <x:is>
          <x:t xml:space="preserve">Regular</x:t>
        </x:is>
      </x:c>
      <x:c r="F5" t="inlineStr">
        <x:is>
          <x:t xml:space="preserve">Mandaue City</x:t>
        </x:is>
      </x:c>
      <x:c r="G5" t="inlineStr">
        <x:is>
          <x:t xml:space="preserve">Administration</x:t>
        </x:is>
      </x:c>
      <x:c r="H5" t="inlineStr">
        <x:is>
          <x:t xml:space="preserve">ADM</x:t>
        </x:is>
      </x:c>
    </x:row>
    <x:row r="6">
      <x:c r="A6" s="10" t="inlineStr">
        <x:is>
          <x:t xml:space="preserve">02100334</x:t>
        </x:is>
      </x:c>
      <x:c r="B6" s="10" t="inlineStr">
        <x:is>
          <x:t xml:space="preserve">Alvin Lozada</x:t>
        </x:is>
      </x:c>
      <x:c r="C6" s="6" t="inlineStr">
        <x:is>
          <x:t xml:space="preserve">Operations Assistant</x:t>
        </x:is>
      </x:c>
      <x:c r="D6" s="77" t="n">
        <x:v>14500</x:v>
      </x:c>
      <x:c r="E6" t="inlineStr">
        <x:is>
          <x:t xml:space="preserve">Contractual</x:t>
        </x:is>
      </x:c>
      <x:c r="F6" t="inlineStr">
        <x:is>
          <x:t xml:space="preserve">Mandaue City</x:t>
        </x:is>
      </x:c>
      <x:c r="G6" t="inlineStr">
        <x:is>
          <x:t xml:space="preserve">Quality Assurance</x:t>
        </x:is>
      </x:c>
      <x:c r="H6" t="inlineStr">
        <x:is>
          <x:t xml:space="preserve">QA</x:t>
        </x:is>
      </x:c>
    </x:row>
    <x:row r="7">
      <x:c r="A7" s="10" t="inlineStr">
        <x:is>
          <x:t xml:space="preserve">01100101</x:t>
        </x:is>
      </x:c>
      <x:c r="B7" s="10" t="inlineStr">
        <x:is>
          <x:t xml:space="preserve">Andrea Ceniza</x:t>
        </x:is>
      </x:c>
      <x:c r="C7" s="6" t="inlineStr">
        <x:is>
          <x:t xml:space="preserve">IT Support Staff</x:t>
        </x:is>
      </x:c>
      <x:c r="D7" s="77" t="n">
        <x:v>17500</x:v>
      </x:c>
      <x:c r="E7" t="inlineStr">
        <x:is>
          <x:t xml:space="preserve">Regular</x:t>
        </x:is>
      </x:c>
      <x:c r="F7" t="inlineStr">
        <x:is>
          <x:t xml:space="preserve">Talisay City</x:t>
        </x:is>
      </x:c>
      <x:c r="G7" t="inlineStr">
        <x:is>
          <x:t xml:space="preserve">Administration</x:t>
        </x:is>
      </x:c>
      <x:c r="H7" t="inlineStr">
        <x:is>
          <x:t xml:space="preserve">ADM</x:t>
        </x:is>
      </x:c>
    </x:row>
    <x:row r="8">
      <x:c r="A8" s="10" t="inlineStr">
        <x:is>
          <x:t xml:space="preserve">02100103</x:t>
        </x:is>
      </x:c>
      <x:c r="B8" s="10" t="inlineStr">
        <x:is>
          <x:t xml:space="preserve">Angelica Paligsa</x:t>
        </x:is>
      </x:c>
      <x:c r="C8" s="6" t="inlineStr">
        <x:is>
          <x:t xml:space="preserve">HR Assistant</x:t>
        </x:is>
      </x:c>
      <x:c r="D8" s="77" t="n">
        <x:v>21000</x:v>
      </x:c>
      <x:c r="E8" t="inlineStr">
        <x:is>
          <x:t xml:space="preserve">Regular</x:t>
        </x:is>
      </x:c>
      <x:c r="F8" t="inlineStr">
        <x:is>
          <x:t xml:space="preserve">Mandaue City</x:t>
        </x:is>
      </x:c>
      <x:c r="G8" t="inlineStr">
        <x:is>
          <x:t xml:space="preserve">Quality Assurance</x:t>
        </x:is>
      </x:c>
      <x:c r="H8" t="inlineStr">
        <x:is>
          <x:t xml:space="preserve">QA</x:t>
        </x:is>
      </x:c>
    </x:row>
    <x:row r="9">
      <x:c r="A9" s="10" t="inlineStr">
        <x:is>
          <x:t xml:space="preserve">02100104</x:t>
        </x:is>
      </x:c>
      <x:c r="B9" s="10" t="inlineStr">
        <x:is>
          <x:t xml:space="preserve">Ann Lou Minguito</x:t>
        </x:is>
      </x:c>
      <x:c r="C9" s="6" t="inlineStr">
        <x:is>
          <x:t xml:space="preserve">QA Analyst</x:t>
        </x:is>
      </x:c>
      <x:c r="D9" s="77" t="n">
        <x:v>17000</x:v>
      </x:c>
      <x:c r="E9" t="inlineStr">
        <x:is>
          <x:t xml:space="preserve">Probationary</x:t>
        </x:is>
      </x:c>
      <x:c r="F9" t="inlineStr">
        <x:is>
          <x:t xml:space="preserve">Mandaue City</x:t>
        </x:is>
      </x:c>
      <x:c r="G9" t="inlineStr">
        <x:is>
          <x:t xml:space="preserve">Human Resources</x:t>
        </x:is>
      </x:c>
      <x:c r="H9" t="inlineStr">
        <x:is>
          <x:t xml:space="preserve">HR</x:t>
        </x:is>
      </x:c>
    </x:row>
    <x:row r="10">
      <x:c r="A10" s="10" t="inlineStr">
        <x:is>
          <x:t xml:space="preserve">02200105</x:t>
        </x:is>
      </x:c>
      <x:c r="B10" s="10" t="inlineStr">
        <x:is>
          <x:t xml:space="preserve">Anna Marie Tabares</x:t>
        </x:is>
      </x:c>
      <x:c r="C10" s="6" t="inlineStr">
        <x:is>
          <x:t xml:space="preserve">Admin Assistant</x:t>
        </x:is>
      </x:c>
      <x:c r="D10" s="77" t="n">
        <x:v>15000</x:v>
      </x:c>
      <x:c r="E10" t="inlineStr">
        <x:is>
          <x:t xml:space="preserve">Regular</x:t>
        </x:is>
      </x:c>
      <x:c r="F10" t="inlineStr">
        <x:is>
          <x:t xml:space="preserve">Talisay City</x:t>
        </x:is>
      </x:c>
      <x:c r="G10" t="inlineStr">
        <x:is>
          <x:t xml:space="preserve">Operations</x:t>
        </x:is>
      </x:c>
      <x:c r="H10" t="inlineStr">
        <x:is>
          <x:t xml:space="preserve">OPS</x:t>
        </x:is>
      </x:c>
    </x:row>
    <x:row r="11">
      <x:c r="A11" s="10" t="inlineStr">
        <x:is>
          <x:t xml:space="preserve">02100106</x:t>
        </x:is>
      </x:c>
      <x:c r="B11" s="10" t="inlineStr">
        <x:is>
          <x:t xml:space="preserve">Anna Mica Ella Punongbayan</x:t>
        </x:is>
      </x:c>
      <x:c r="C11" s="6" t="inlineStr">
        <x:is>
          <x:t xml:space="preserve">Admin Assistant</x:t>
        </x:is>
      </x:c>
      <x:c r="D11" s="77" t="n">
        <x:v>22000</x:v>
      </x:c>
      <x:c r="E11" t="inlineStr">
        <x:is>
          <x:t xml:space="preserve">Probationary</x:t>
        </x:is>
      </x:c>
      <x:c r="F11" t="inlineStr">
        <x:is>
          <x:t xml:space="preserve">Lapu-Lapu City</x:t>
        </x:is>
      </x:c>
      <x:c r="G11" t="inlineStr">
        <x:is>
          <x:t xml:space="preserve">Recruitment</x:t>
        </x:is>
      </x:c>
      <x:c r="H11" t="inlineStr">
        <x:is>
          <x:t xml:space="preserve">REC</x:t>
        </x:is>
      </x:c>
    </x:row>
    <x:row r="12">
      <x:c r="A12" s="10" t="inlineStr">
        <x:is>
          <x:t xml:space="preserve">02100227</x:t>
        </x:is>
      </x:c>
      <x:c r="B12" s="10" t="inlineStr">
        <x:is>
          <x:t xml:space="preserve">April Jane Elnar</x:t>
        </x:is>
      </x:c>
      <x:c r="C12" s="6" t="inlineStr">
        <x:is>
          <x:t xml:space="preserve">Customer Service Representative</x:t>
        </x:is>
      </x:c>
      <x:c r="D12" s="77" t="n">
        <x:v>20000</x:v>
      </x:c>
      <x:c r="E12" t="inlineStr">
        <x:is>
          <x:t xml:space="preserve">Probationary</x:t>
        </x:is>
      </x:c>
      <x:c r="F12" t="inlineStr">
        <x:is>
          <x:t xml:space="preserve">Cebu City</x:t>
        </x:is>
      </x:c>
      <x:c r="G12" t="inlineStr">
        <x:is>
          <x:t xml:space="preserve">Finance</x:t>
        </x:is>
      </x:c>
      <x:c r="H12" t="inlineStr">
        <x:is>
          <x:t xml:space="preserve">FIN</x:t>
        </x:is>
      </x:c>
    </x:row>
    <x:row r="13">
      <x:c r="A13" s="10" t="inlineStr">
        <x:is>
          <x:t xml:space="preserve">02100194</x:t>
        </x:is>
      </x:c>
      <x:c r="B13" s="10" t="inlineStr">
        <x:is>
          <x:t xml:space="preserve">April Sanchez</x:t>
        </x:is>
      </x:c>
      <x:c r="C13" s="6" t="inlineStr">
        <x:is>
          <x:t xml:space="preserve">Technical Support Representative</x:t>
        </x:is>
      </x:c>
      <x:c r="D13" s="77" t="n">
        <x:v>18500</x:v>
      </x:c>
      <x:c r="E13" t="inlineStr">
        <x:is>
          <x:t xml:space="preserve">Probationary</x:t>
        </x:is>
      </x:c>
      <x:c r="F13" t="inlineStr">
        <x:is>
          <x:t xml:space="preserve">Lapu-Lapu City</x:t>
        </x:is>
      </x:c>
      <x:c r="G13" t="inlineStr">
        <x:is>
          <x:t xml:space="preserve">Administration</x:t>
        </x:is>
      </x:c>
      <x:c r="H13" t="inlineStr">
        <x:is>
          <x:t xml:space="preserve">ADM</x:t>
        </x:is>
      </x:c>
    </x:row>
    <x:row r="14">
      <x:c r="A14" s="10" t="inlineStr">
        <x:is>
          <x:t xml:space="preserve">01100218</x:t>
        </x:is>
      </x:c>
      <x:c r="B14" s="10" t="inlineStr">
        <x:is>
          <x:t xml:space="preserve">Aquilyn Dayan A. Adlit</x:t>
        </x:is>
      </x:c>
      <x:c r="C14" s="6" t="inlineStr">
        <x:is>
          <x:t xml:space="preserve">Payroll Assistant</x:t>
        </x:is>
      </x:c>
      <x:c r="D14" s="77" t="n">
        <x:v>20000</x:v>
      </x:c>
      <x:c r="E14" t="inlineStr">
        <x:is>
          <x:t xml:space="preserve">Regular</x:t>
        </x:is>
      </x:c>
      <x:c r="F14" t="inlineStr">
        <x:is>
          <x:t xml:space="preserve">Cebu City</x:t>
        </x:is>
      </x:c>
      <x:c r="G14" t="inlineStr">
        <x:is>
          <x:t xml:space="preserve">Quality Assurance</x:t>
        </x:is>
      </x:c>
      <x:c r="H14" t="inlineStr">
        <x:is>
          <x:t xml:space="preserve">QA</x:t>
        </x:is>
      </x:c>
    </x:row>
    <x:row r="15">
      <x:c r="A15" s="10" t="inlineStr">
        <x:is>
          <x:t xml:space="preserve">02100327</x:t>
        </x:is>
      </x:c>
      <x:c r="B15" s="10" t="inlineStr">
        <x:is>
          <x:t xml:space="preserve">Ardeth James Ortega</x:t>
        </x:is>
      </x:c>
      <x:c r="C15" s="6" t="inlineStr">
        <x:is>
          <x:t xml:space="preserve">Payroll Assistant</x:t>
        </x:is>
      </x:c>
      <x:c r="D15" s="77" t="n">
        <x:v>21000</x:v>
      </x:c>
      <x:c r="E15" t="inlineStr">
        <x:is>
          <x:t xml:space="preserve">Probationary</x:t>
        </x:is>
      </x:c>
      <x:c r="F15" t="inlineStr">
        <x:is>
          <x:t xml:space="preserve">Cebu City</x:t>
        </x:is>
      </x:c>
      <x:c r="G15" t="inlineStr">
        <x:is>
          <x:t xml:space="preserve">Recruitment</x:t>
        </x:is>
      </x:c>
      <x:c r="H15" t="inlineStr">
        <x:is>
          <x:t xml:space="preserve">REC</x:t>
        </x:is>
      </x:c>
    </x:row>
    <x:row r="16">
      <x:c r="A16" s="10" t="inlineStr">
        <x:is>
          <x:t xml:space="preserve">02100107</x:t>
        </x:is>
      </x:c>
      <x:c r="B16" s="10" t="inlineStr">
        <x:is>
          <x:t xml:space="preserve">Brenda Mae T. Bacurnay</x:t>
        </x:is>
      </x:c>
      <x:c r="C16" s="6" t="inlineStr">
        <x:is>
          <x:t xml:space="preserve">Payroll Assistant</x:t>
        </x:is>
      </x:c>
      <x:c r="D16" s="77" t="n">
        <x:v>22000</x:v>
      </x:c>
      <x:c r="E16" t="inlineStr">
        <x:is>
          <x:t xml:space="preserve">Regular</x:t>
        </x:is>
      </x:c>
      <x:c r="F16" t="inlineStr">
        <x:is>
          <x:t xml:space="preserve">Talisay City</x:t>
        </x:is>
      </x:c>
      <x:c r="G16" t="inlineStr">
        <x:is>
          <x:t xml:space="preserve">Information Technology</x:t>
        </x:is>
      </x:c>
      <x:c r="H16" t="inlineStr">
        <x:is>
          <x:t xml:space="preserve">IT</x:t>
        </x:is>
      </x:c>
    </x:row>
    <x:row r="17">
      <x:c r="A17" s="10" t="inlineStr">
        <x:is>
          <x:t xml:space="preserve">01100271</x:t>
        </x:is>
      </x:c>
      <x:c r="B17" s="10" t="inlineStr">
        <x:is>
          <x:t xml:space="preserve">Buenagen Bagundol</x:t>
        </x:is>
      </x:c>
      <x:c r="C17" s="6" t="inlineStr">
        <x:is>
          <x:t xml:space="preserve">Recruitment Staff</x:t>
        </x:is>
      </x:c>
      <x:c r="D17" s="77" t="n">
        <x:v>19500</x:v>
      </x:c>
      <x:c r="E17" t="inlineStr">
        <x:is>
          <x:t xml:space="preserve">Probationary</x:t>
        </x:is>
      </x:c>
      <x:c r="F17" t="inlineStr">
        <x:is>
          <x:t xml:space="preserve">Mandaue City</x:t>
        </x:is>
      </x:c>
      <x:c r="G17" t="inlineStr">
        <x:is>
          <x:t xml:space="preserve">Information Technology</x:t>
        </x:is>
      </x:c>
      <x:c r="H17" t="inlineStr">
        <x:is>
          <x:t xml:space="preserve">IT</x:t>
        </x:is>
      </x:c>
    </x:row>
    <x:row r="18">
      <x:c r="A18" s="10" t="inlineStr">
        <x:is>
          <x:t xml:space="preserve">01100108</x:t>
        </x:is>
      </x:c>
      <x:c r="B18" s="10" t="inlineStr">
        <x:is>
          <x:t xml:space="preserve">Camela Torrate</x:t>
        </x:is>
      </x:c>
      <x:c r="C18" s="6" t="inlineStr">
        <x:is>
          <x:t xml:space="preserve">Admin Assistant</x:t>
        </x:is>
      </x:c>
      <x:c r="D18" s="77" t="n">
        <x:v>16000</x:v>
      </x:c>
      <x:c r="E18" t="inlineStr">
        <x:is>
          <x:t xml:space="preserve">Contractual</x:t>
        </x:is>
      </x:c>
      <x:c r="F18" t="inlineStr">
        <x:is>
          <x:t xml:space="preserve">Lapu-Lapu City</x:t>
        </x:is>
      </x:c>
      <x:c r="G18" t="inlineStr">
        <x:is>
          <x:t xml:space="preserve">Quality Assurance</x:t>
        </x:is>
      </x:c>
      <x:c r="H18" t="inlineStr">
        <x:is>
          <x:t xml:space="preserve">QA</x:t>
        </x:is>
      </x:c>
    </x:row>
    <x:row r="19">
      <x:c r="A19" s="10" t="inlineStr">
        <x:is>
          <x:t xml:space="preserve">02100109</x:t>
        </x:is>
      </x:c>
      <x:c r="B19" s="10" t="inlineStr">
        <x:is>
          <x:t xml:space="preserve">Candice Kate Velasco</x:t>
        </x:is>
      </x:c>
      <x:c r="C19" s="6" t="inlineStr">
        <x:is>
          <x:t xml:space="preserve">Technical Support Representative</x:t>
        </x:is>
      </x:c>
      <x:c r="D19" s="77" t="n">
        <x:v>19000</x:v>
      </x:c>
      <x:c r="E19" t="inlineStr">
        <x:is>
          <x:t xml:space="preserve">Contractual</x:t>
        </x:is>
      </x:c>
      <x:c r="F19" t="inlineStr">
        <x:is>
          <x:t xml:space="preserve">Mandaue City</x:t>
        </x:is>
      </x:c>
      <x:c r="G19" t="inlineStr">
        <x:is>
          <x:t xml:space="preserve">Administration</x:t>
        </x:is>
      </x:c>
      <x:c r="H19" t="inlineStr">
        <x:is>
          <x:t xml:space="preserve">ADM</x:t>
        </x:is>
      </x:c>
    </x:row>
    <x:row r="20">
      <x:c r="A20" s="10" t="inlineStr">
        <x:is>
          <x:t xml:space="preserve">02100294</x:t>
        </x:is>
      </x:c>
      <x:c r="B20" s="10" t="inlineStr">
        <x:is>
          <x:t xml:space="preserve">Carlo John Rubio</x:t>
        </x:is>
      </x:c>
      <x:c r="C20" s="6" t="inlineStr">
        <x:is>
          <x:t xml:space="preserve">Payroll Assistant</x:t>
        </x:is>
      </x:c>
      <x:c r="D20" s="77" t="n">
        <x:v>15500</x:v>
      </x:c>
      <x:c r="E20" t="inlineStr">
        <x:is>
          <x:t xml:space="preserve">Probationary</x:t>
        </x:is>
      </x:c>
      <x:c r="F20" t="inlineStr">
        <x:is>
          <x:t xml:space="preserve">Talisay City</x:t>
        </x:is>
      </x:c>
      <x:c r="G20" t="inlineStr">
        <x:is>
          <x:t xml:space="preserve">Information Technology</x:t>
        </x:is>
      </x:c>
      <x:c r="H20" t="inlineStr">
        <x:is>
          <x:t xml:space="preserve">IT</x:t>
        </x:is>
      </x:c>
    </x:row>
    <x:row r="21">
      <x:c r="A21" s="10" t="inlineStr">
        <x:is>
          <x:t xml:space="preserve">01100270</x:t>
        </x:is>
      </x:c>
      <x:c r="B21" s="10" t="inlineStr">
        <x:is>
          <x:t xml:space="preserve">Catherine Vergara</x:t>
        </x:is>
      </x:c>
      <x:c r="C21" s="6" t="inlineStr">
        <x:is>
          <x:t xml:space="preserve">IT Support Staff</x:t>
        </x:is>
      </x:c>
      <x:c r="D21" s="77" t="n">
        <x:v>16000</x:v>
      </x:c>
      <x:c r="E21" t="inlineStr">
        <x:is>
          <x:t xml:space="preserve">Contractual</x:t>
        </x:is>
      </x:c>
      <x:c r="F21" t="inlineStr">
        <x:is>
          <x:t xml:space="preserve">Lapu-Lapu City</x:t>
        </x:is>
      </x:c>
      <x:c r="G21" t="inlineStr">
        <x:is>
          <x:t xml:space="preserve">Recruitment</x:t>
        </x:is>
      </x:c>
      <x:c r="H21" t="inlineStr">
        <x:is>
          <x:t xml:space="preserve">REC</x:t>
        </x:is>
      </x:c>
    </x:row>
    <x:row r="22">
      <x:c r="A22" s="10" t="inlineStr">
        <x:is>
          <x:t xml:space="preserve">01100220</x:t>
        </x:is>
      </x:c>
      <x:c r="B22" s="10" t="inlineStr">
        <x:is>
          <x:t xml:space="preserve">Christian Pagobo</x:t>
        </x:is>
      </x:c>
      <x:c r="C22" s="6" t="inlineStr">
        <x:is>
          <x:t xml:space="preserve">Customer Service Representative</x:t>
        </x:is>
      </x:c>
      <x:c r="D22" s="77" t="n">
        <x:v>16000</x:v>
      </x:c>
      <x:c r="E22" t="inlineStr">
        <x:is>
          <x:t xml:space="preserve">Regular</x:t>
        </x:is>
      </x:c>
      <x:c r="F22" t="inlineStr">
        <x:is>
          <x:t xml:space="preserve">Lapu-Lapu City</x:t>
        </x:is>
      </x:c>
      <x:c r="G22" t="inlineStr">
        <x:is>
          <x:t xml:space="preserve">Finance</x:t>
        </x:is>
      </x:c>
      <x:c r="H22" t="inlineStr">
        <x:is>
          <x:t xml:space="preserve">FIN</x:t>
        </x:is>
      </x:c>
    </x:row>
    <x:row r="23">
      <x:c r="A23" s="10" t="inlineStr">
        <x:is>
          <x:t xml:space="preserve">01100112</x:t>
        </x:is>
      </x:c>
      <x:c r="B23" s="10" t="inlineStr">
        <x:is>
          <x:t xml:space="preserve">Crislyn Cuizon</x:t>
        </x:is>
      </x:c>
      <x:c r="C23" s="6" t="inlineStr">
        <x:is>
          <x:t xml:space="preserve">HR Assistant</x:t>
        </x:is>
      </x:c>
      <x:c r="D23" s="77" t="n">
        <x:v>15000</x:v>
      </x:c>
      <x:c r="E23" t="inlineStr">
        <x:is>
          <x:t xml:space="preserve">Regular</x:t>
        </x:is>
      </x:c>
      <x:c r="F23" t="inlineStr">
        <x:is>
          <x:t xml:space="preserve">Lapu-Lapu City</x:t>
        </x:is>
      </x:c>
      <x:c r="G23" t="inlineStr">
        <x:is>
          <x:t xml:space="preserve">Human Resources</x:t>
        </x:is>
      </x:c>
      <x:c r="H23" t="inlineStr">
        <x:is>
          <x:t xml:space="preserve">HR</x:t>
        </x:is>
      </x:c>
    </x:row>
    <x:row r="24">
      <x:c r="A24" s="10" t="inlineStr">
        <x:is>
          <x:t xml:space="preserve">01100329</x:t>
        </x:is>
      </x:c>
      <x:c r="B24" s="10" t="inlineStr">
        <x:is>
          <x:t xml:space="preserve">Cyriline Vergara</x:t>
        </x:is>
      </x:c>
      <x:c r="C24" s="6" t="inlineStr">
        <x:is>
          <x:t xml:space="preserve">Recruitment Staff</x:t>
        </x:is>
      </x:c>
      <x:c r="D24" s="77" t="n">
        <x:v>17500</x:v>
      </x:c>
      <x:c r="E24" t="inlineStr">
        <x:is>
          <x:t xml:space="preserve">Contractual</x:t>
        </x:is>
      </x:c>
      <x:c r="F24" t="inlineStr">
        <x:is>
          <x:t xml:space="preserve">Talisay City</x:t>
        </x:is>
      </x:c>
      <x:c r="G24" t="inlineStr">
        <x:is>
          <x:t xml:space="preserve">Human Resources</x:t>
        </x:is>
      </x:c>
      <x:c r="H24" t="inlineStr">
        <x:is>
          <x:t xml:space="preserve">HR</x:t>
        </x:is>
      </x:c>
    </x:row>
    <x:row r="25">
      <x:c r="A25" s="10" t="inlineStr">
        <x:is>
          <x:t xml:space="preserve">01100113</x:t>
        </x:is>
      </x:c>
      <x:c r="B25" s="10" t="inlineStr">
        <x:is>
          <x:t xml:space="preserve">Demie Marie Medalle</x:t>
        </x:is>
      </x:c>
      <x:c r="C25" s="6" t="inlineStr">
        <x:is>
          <x:t xml:space="preserve">HR Assistant</x:t>
        </x:is>
      </x:c>
      <x:c r="D25" s="77" t="n">
        <x:v>15500</x:v>
      </x:c>
      <x:c r="E25" t="inlineStr">
        <x:is>
          <x:t xml:space="preserve">Regular</x:t>
        </x:is>
      </x:c>
      <x:c r="F25" t="inlineStr">
        <x:is>
          <x:t xml:space="preserve">Lapu-Lapu City</x:t>
        </x:is>
      </x:c>
      <x:c r="G25" t="inlineStr">
        <x:is>
          <x:t xml:space="preserve">Quality Assurance</x:t>
        </x:is>
      </x:c>
      <x:c r="H25" t="inlineStr">
        <x:is>
          <x:t xml:space="preserve">QA</x:t>
        </x:is>
      </x:c>
    </x:row>
    <x:row r="26">
      <x:c r="A26" s="10" t="inlineStr">
        <x:is>
          <x:t xml:space="preserve">01100115</x:t>
        </x:is>
      </x:c>
      <x:c r="B26" s="10" t="inlineStr">
        <x:is>
          <x:t xml:space="preserve">Dharlene G. Bendanillo</x:t>
        </x:is>
      </x:c>
      <x:c r="C26" s="6" t="inlineStr">
        <x:is>
          <x:t xml:space="preserve">Operations Assistant</x:t>
        </x:is>
      </x:c>
      <x:c r="D26" s="77" t="n">
        <x:v>17500</x:v>
      </x:c>
      <x:c r="E26" t="inlineStr">
        <x:is>
          <x:t xml:space="preserve">Contractual</x:t>
        </x:is>
      </x:c>
      <x:c r="F26" t="inlineStr">
        <x:is>
          <x:t xml:space="preserve">Talisay City</x:t>
        </x:is>
      </x:c>
      <x:c r="G26" t="inlineStr">
        <x:is>
          <x:t xml:space="preserve">Information Technology</x:t>
        </x:is>
      </x:c>
      <x:c r="H26" t="inlineStr">
        <x:is>
          <x:t xml:space="preserve">IT</x:t>
        </x:is>
      </x:c>
    </x:row>
    <x:row r="27">
      <x:c r="A27" s="10" t="inlineStr">
        <x:is>
          <x:t xml:space="preserve">01100116</x:t>
        </x:is>
      </x:c>
      <x:c r="B27" s="10" t="inlineStr">
        <x:is>
          <x:t xml:space="preserve">Donald Bacanaya</x:t>
        </x:is>
      </x:c>
      <x:c r="C27" s="6" t="inlineStr">
        <x:is>
          <x:t xml:space="preserve">Payroll Assistant</x:t>
        </x:is>
      </x:c>
      <x:c r="D27" s="77" t="n">
        <x:v>15500</x:v>
      </x:c>
      <x:c r="E27" t="inlineStr">
        <x:is>
          <x:t xml:space="preserve">Contractual</x:t>
        </x:is>
      </x:c>
      <x:c r="F27" t="inlineStr">
        <x:is>
          <x:t xml:space="preserve">Talisay City</x:t>
        </x:is>
      </x:c>
      <x:c r="G27" t="inlineStr">
        <x:is>
          <x:t xml:space="preserve">Operations</x:t>
        </x:is>
      </x:c>
      <x:c r="H27" t="inlineStr">
        <x:is>
          <x:t xml:space="preserve">OPS</x:t>
        </x:is>
      </x:c>
    </x:row>
    <x:row r="28">
      <x:c r="A28" s="10" t="inlineStr">
        <x:is>
          <x:t xml:space="preserve">01100253</x:t>
        </x:is>
      </x:c>
      <x:c r="B28" s="10" t="inlineStr">
        <x:is>
          <x:t xml:space="preserve">Ericka Dorreen Amores - Abejero</x:t>
        </x:is>
      </x:c>
      <x:c r="C28" s="6" t="inlineStr">
        <x:is>
          <x:t xml:space="preserve">Customer Service Representative</x:t>
        </x:is>
      </x:c>
      <x:c r="D28" s="77" t="n">
        <x:v>22000</x:v>
      </x:c>
      <x:c r="E28" t="inlineStr">
        <x:is>
          <x:t xml:space="preserve">Regular</x:t>
        </x:is>
      </x:c>
      <x:c r="F28" t="inlineStr">
        <x:is>
          <x:t xml:space="preserve">Mandaue City</x:t>
        </x:is>
      </x:c>
      <x:c r="G28" t="inlineStr">
        <x:is>
          <x:t xml:space="preserve">Quality Assurance</x:t>
        </x:is>
      </x:c>
      <x:c r="H28" t="inlineStr">
        <x:is>
          <x:t xml:space="preserve">QA</x:t>
        </x:is>
      </x:c>
    </x:row>
    <x:row r="29">
      <x:c r="A29" s="10" t="inlineStr">
        <x:is>
          <x:t xml:space="preserve">02100117</x:t>
        </x:is>
      </x:c>
      <x:c r="B29" s="10" t="inlineStr">
        <x:is>
          <x:t xml:space="preserve">Ernesto F. Roquin Jr.</x:t>
        </x:is>
      </x:c>
      <x:c r="C29" s="6" t="inlineStr">
        <x:is>
          <x:t xml:space="preserve">Data Encoder</x:t>
        </x:is>
      </x:c>
      <x:c r="D29" s="77" t="n">
        <x:v>21000</x:v>
      </x:c>
      <x:c r="E29" t="inlineStr">
        <x:is>
          <x:t xml:space="preserve">Contractual</x:t>
        </x:is>
      </x:c>
      <x:c r="F29" t="inlineStr">
        <x:is>
          <x:t xml:space="preserve">Talisay City</x:t>
        </x:is>
      </x:c>
      <x:c r="G29" t="inlineStr">
        <x:is>
          <x:t xml:space="preserve">Administration</x:t>
        </x:is>
      </x:c>
      <x:c r="H29" t="inlineStr">
        <x:is>
          <x:t xml:space="preserve">ADM</x:t>
        </x:is>
      </x:c>
    </x:row>
    <x:row r="30">
      <x:c r="A30" s="10" t="inlineStr">
        <x:is>
          <x:t xml:space="preserve">01100118</x:t>
        </x:is>
      </x:c>
      <x:c r="B30" s="10" t="inlineStr">
        <x:is>
          <x:t xml:space="preserve">Fame Diez</x:t>
        </x:is>
      </x:c>
      <x:c r="C30" s="6" t="inlineStr">
        <x:is>
          <x:t xml:space="preserve">Technical Support Representative</x:t>
        </x:is>
      </x:c>
      <x:c r="D30" s="77" t="n">
        <x:v>17500</x:v>
      </x:c>
      <x:c r="E30" t="inlineStr">
        <x:is>
          <x:t xml:space="preserve">Probationary</x:t>
        </x:is>
      </x:c>
      <x:c r="F30" t="inlineStr">
        <x:is>
          <x:t xml:space="preserve">Talisay City</x:t>
        </x:is>
      </x:c>
      <x:c r="G30" t="inlineStr">
        <x:is>
          <x:t xml:space="preserve">Administration</x:t>
        </x:is>
      </x:c>
      <x:c r="H30" t="inlineStr">
        <x:is>
          <x:t xml:space="preserve">ADM</x:t>
        </x:is>
      </x:c>
    </x:row>
    <x:row r="31">
      <x:c r="A31" s="10" t="inlineStr">
        <x:is>
          <x:t xml:space="preserve">01100221</x:t>
        </x:is>
      </x:c>
      <x:c r="B31" s="10" t="inlineStr">
        <x:is>
          <x:t xml:space="preserve">Farrah Jean Vildosola</x:t>
        </x:is>
      </x:c>
      <x:c r="C31" s="6" t="inlineStr">
        <x:is>
          <x:t xml:space="preserve">HR Assistant</x:t>
        </x:is>
      </x:c>
      <x:c r="D31" s="77" t="n">
        <x:v>18500</x:v>
      </x:c>
      <x:c r="E31" t="inlineStr">
        <x:is>
          <x:t xml:space="preserve">Regular</x:t>
        </x:is>
      </x:c>
      <x:c r="F31" t="inlineStr">
        <x:is>
          <x:t xml:space="preserve">Cebu City</x:t>
        </x:is>
      </x:c>
      <x:c r="G31" t="inlineStr">
        <x:is>
          <x:t xml:space="preserve">Quality Assurance</x:t>
        </x:is>
      </x:c>
      <x:c r="H31" t="inlineStr">
        <x:is>
          <x:t xml:space="preserve">QA</x:t>
        </x:is>
      </x:c>
    </x:row>
    <x:row r="32">
      <x:c r="A32" s="10" t="inlineStr">
        <x:is>
          <x:t xml:space="preserve">02100119</x:t>
        </x:is>
      </x:c>
      <x:c r="B32" s="10" t="inlineStr">
        <x:is>
          <x:t xml:space="preserve">Ferreh Jane Vilos</x:t>
        </x:is>
      </x:c>
      <x:c r="C32" s="6" t="inlineStr">
        <x:is>
          <x:t xml:space="preserve">IT Support Staff</x:t>
        </x:is>
      </x:c>
      <x:c r="D32" s="77" t="n">
        <x:v>21000</x:v>
      </x:c>
      <x:c r="E32" t="inlineStr">
        <x:is>
          <x:t xml:space="preserve">Probationary</x:t>
        </x:is>
      </x:c>
      <x:c r="F32" t="inlineStr">
        <x:is>
          <x:t xml:space="preserve">Lapu-Lapu City</x:t>
        </x:is>
      </x:c>
      <x:c r="G32" t="inlineStr">
        <x:is>
          <x:t xml:space="preserve">Operations</x:t>
        </x:is>
      </x:c>
      <x:c r="H32" t="inlineStr">
        <x:is>
          <x:t xml:space="preserve">OPS</x:t>
        </x:is>
      </x:c>
    </x:row>
    <x:row r="33">
      <x:c r="A33" s="10" t="inlineStr">
        <x:is>
          <x:t xml:space="preserve">02100120</x:t>
        </x:is>
      </x:c>
      <x:c r="B33" s="10" t="inlineStr">
        <x:is>
          <x:t xml:space="preserve">Flint Kaynon Balmadres</x:t>
        </x:is>
      </x:c>
      <x:c r="C33" s="6" t="inlineStr">
        <x:is>
          <x:t xml:space="preserve">HR Assistant</x:t>
        </x:is>
      </x:c>
      <x:c r="D33" s="77" t="n">
        <x:v>17500</x:v>
      </x:c>
      <x:c r="E33" t="inlineStr">
        <x:is>
          <x:t xml:space="preserve">Regular</x:t>
        </x:is>
      </x:c>
      <x:c r="F33" t="inlineStr">
        <x:is>
          <x:t xml:space="preserve">Talisay City</x:t>
        </x:is>
      </x:c>
      <x:c r="G33" t="inlineStr">
        <x:is>
          <x:t xml:space="preserve">Operations</x:t>
        </x:is>
      </x:c>
      <x:c r="H33" t="inlineStr">
        <x:is>
          <x:t xml:space="preserve">OPS</x:t>
        </x:is>
      </x:c>
    </x:row>
    <x:row r="34">
      <x:c r="A34" s="10" t="inlineStr">
        <x:is>
          <x:t xml:space="preserve">01100217</x:t>
        </x:is>
      </x:c>
      <x:c r="B34" s="10" t="inlineStr">
        <x:is>
          <x:t xml:space="preserve">Franklyn Jay Talisic</x:t>
        </x:is>
      </x:c>
      <x:c r="C34" s="6" t="inlineStr">
        <x:is>
          <x:t xml:space="preserve">HR Assistant</x:t>
        </x:is>
      </x:c>
      <x:c r="D34" s="77" t="n">
        <x:v>18500</x:v>
      </x:c>
      <x:c r="E34" t="inlineStr">
        <x:is>
          <x:t xml:space="preserve">Regular</x:t>
        </x:is>
      </x:c>
      <x:c r="F34" t="inlineStr">
        <x:is>
          <x:t xml:space="preserve">Cebu City</x:t>
        </x:is>
      </x:c>
      <x:c r="G34" t="inlineStr">
        <x:is>
          <x:t xml:space="preserve">Recruitment</x:t>
        </x:is>
      </x:c>
      <x:c r="H34" t="inlineStr">
        <x:is>
          <x:t xml:space="preserve">REC</x:t>
        </x:is>
      </x:c>
    </x:row>
    <x:row r="35">
      <x:c r="A35" s="10" t="inlineStr">
        <x:is>
          <x:t xml:space="preserve">02100121</x:t>
        </x:is>
      </x:c>
      <x:c r="B35" s="10" t="inlineStr">
        <x:is>
          <x:t xml:space="preserve">Fritzyl D. Lorico</x:t>
        </x:is>
      </x:c>
      <x:c r="C35" s="6" t="inlineStr">
        <x:is>
          <x:t xml:space="preserve">HR Assistant</x:t>
        </x:is>
      </x:c>
      <x:c r="D35" s="77" t="n">
        <x:v>22000</x:v>
      </x:c>
      <x:c r="E35" t="inlineStr">
        <x:is>
          <x:t xml:space="preserve">Contractual</x:t>
        </x:is>
      </x:c>
      <x:c r="F35" t="inlineStr">
        <x:is>
          <x:t xml:space="preserve">Mandaue City</x:t>
        </x:is>
      </x:c>
      <x:c r="G35" t="inlineStr">
        <x:is>
          <x:t xml:space="preserve">Human Resources</x:t>
        </x:is>
      </x:c>
      <x:c r="H35" t="inlineStr">
        <x:is>
          <x:t xml:space="preserve">HR</x:t>
        </x:is>
      </x:c>
    </x:row>
    <x:row r="36">
      <x:c r="A36" s="10" t="inlineStr">
        <x:is>
          <x:t xml:space="preserve">02100295</x:t>
        </x:is>
      </x:c>
      <x:c r="B36" s="10" t="inlineStr">
        <x:is>
          <x:t xml:space="preserve">Genil Silva</x:t>
        </x:is>
      </x:c>
      <x:c r="C36" s="6" t="inlineStr">
        <x:is>
          <x:t xml:space="preserve">Admin Assistant</x:t>
        </x:is>
      </x:c>
      <x:c r="D36" s="77" t="n">
        <x:v>21000</x:v>
      </x:c>
      <x:c r="E36" t="inlineStr">
        <x:is>
          <x:t xml:space="preserve">Regular</x:t>
        </x:is>
      </x:c>
      <x:c r="F36" t="inlineStr">
        <x:is>
          <x:t xml:space="preserve">Cebu City</x:t>
        </x:is>
      </x:c>
      <x:c r="G36" t="inlineStr">
        <x:is>
          <x:t xml:space="preserve">Administration</x:t>
        </x:is>
      </x:c>
      <x:c r="H36" t="inlineStr">
        <x:is>
          <x:t xml:space="preserve">ADM</x:t>
        </x:is>
      </x:c>
    </x:row>
    <x:row r="37">
      <x:c r="A37" s="10" t="inlineStr">
        <x:is>
          <x:t xml:space="preserve">01100123</x:t>
        </x:is>
      </x:c>
      <x:c r="B37" s="10" t="inlineStr">
        <x:is>
          <x:t xml:space="preserve">Gerra Rose Fajardo</x:t>
        </x:is>
      </x:c>
      <x:c r="C37" s="6" t="inlineStr">
        <x:is>
          <x:t xml:space="preserve">Admin Assistant</x:t>
        </x:is>
      </x:c>
      <x:c r="D37" s="77" t="n">
        <x:v>18000</x:v>
      </x:c>
      <x:c r="E37" t="inlineStr">
        <x:is>
          <x:t xml:space="preserve">Regular</x:t>
        </x:is>
      </x:c>
      <x:c r="F37" t="inlineStr">
        <x:is>
          <x:t xml:space="preserve">Cebu City</x:t>
        </x:is>
      </x:c>
      <x:c r="G37" t="inlineStr">
        <x:is>
          <x:t xml:space="preserve">Information Technology</x:t>
        </x:is>
      </x:c>
      <x:c r="H37" t="inlineStr">
        <x:is>
          <x:t xml:space="preserve">IT</x:t>
        </x:is>
      </x:c>
    </x:row>
    <x:row r="38">
      <x:c r="A38" s="10" t="inlineStr">
        <x:is>
          <x:t xml:space="preserve">01100222</x:t>
        </x:is>
      </x:c>
      <x:c r="B38" s="10" t="inlineStr">
        <x:is>
          <x:t xml:space="preserve">Glenn Oplado</x:t>
        </x:is>
      </x:c>
      <x:c r="C38" s="6" t="inlineStr">
        <x:is>
          <x:t xml:space="preserve">HR Assistant</x:t>
        </x:is>
      </x:c>
      <x:c r="D38" s="77" t="n">
        <x:v>16000</x:v>
      </x:c>
      <x:c r="E38" t="inlineStr">
        <x:is>
          <x:t xml:space="preserve">Regular</x:t>
        </x:is>
      </x:c>
      <x:c r="F38" t="inlineStr">
        <x:is>
          <x:t xml:space="preserve">Mandaue City</x:t>
        </x:is>
      </x:c>
      <x:c r="G38" t="inlineStr">
        <x:is>
          <x:t xml:space="preserve">Administration</x:t>
        </x:is>
      </x:c>
      <x:c r="H38" t="inlineStr">
        <x:is>
          <x:t xml:space="preserve">ADM</x:t>
        </x:is>
      </x:c>
    </x:row>
    <x:row r="39">
      <x:c r="A39" s="10" t="inlineStr">
        <x:is>
          <x:t xml:space="preserve">02100127</x:t>
        </x:is>
      </x:c>
      <x:c r="B39" s="10" t="inlineStr">
        <x:is>
          <x:t xml:space="preserve">Hannah Jane Villegas Nocete</x:t>
        </x:is>
      </x:c>
      <x:c r="C39" s="6" t="inlineStr">
        <x:is>
          <x:t xml:space="preserve">Technical Support Representative</x:t>
        </x:is>
      </x:c>
      <x:c r="D39" s="77" t="n">
        <x:v>15000</x:v>
      </x:c>
      <x:c r="E39" t="inlineStr">
        <x:is>
          <x:t xml:space="preserve">Contractual</x:t>
        </x:is>
      </x:c>
      <x:c r="F39" t="inlineStr">
        <x:is>
          <x:t xml:space="preserve">Talisay City</x:t>
        </x:is>
      </x:c>
      <x:c r="G39" t="inlineStr">
        <x:is>
          <x:t xml:space="preserve">Recruitment</x:t>
        </x:is>
      </x:c>
      <x:c r="H39" t="inlineStr">
        <x:is>
          <x:t xml:space="preserve">REC</x:t>
        </x:is>
      </x:c>
    </x:row>
    <x:row r="40">
      <x:c r="A40" s="10" t="inlineStr">
        <x:is>
          <x:t xml:space="preserve">02100128</x:t>
        </x:is>
      </x:c>
      <x:c r="B40" s="10" t="inlineStr">
        <x:is>
          <x:t xml:space="preserve">Harlley D. Alos</x:t>
        </x:is>
      </x:c>
      <x:c r="C40" s="6" t="inlineStr">
        <x:is>
          <x:t xml:space="preserve">Technical Support Representative</x:t>
        </x:is>
      </x:c>
      <x:c r="D40" s="77" t="n">
        <x:v>21000</x:v>
      </x:c>
      <x:c r="E40" t="inlineStr">
        <x:is>
          <x:t xml:space="preserve">Contractual</x:t>
        </x:is>
      </x:c>
      <x:c r="F40" t="inlineStr">
        <x:is>
          <x:t xml:space="preserve">Mandaue City</x:t>
        </x:is>
      </x:c>
      <x:c r="G40" t="inlineStr">
        <x:is>
          <x:t xml:space="preserve">Human Resources</x:t>
        </x:is>
      </x:c>
      <x:c r="H40" t="inlineStr">
        <x:is>
          <x:t xml:space="preserve">HR</x:t>
        </x:is>
      </x:c>
    </x:row>
    <x:row r="41">
      <x:c r="A41" s="10" t="inlineStr">
        <x:is>
          <x:t xml:space="preserve">02100202</x:t>
        </x:is>
      </x:c>
      <x:c r="B41" s="10" t="inlineStr">
        <x:is>
          <x:t xml:space="preserve">Heide Camuta</x:t>
        </x:is>
      </x:c>
      <x:c r="C41" s="6" t="inlineStr">
        <x:is>
          <x:t xml:space="preserve">Recruitment Staff</x:t>
        </x:is>
      </x:c>
      <x:c r="D41" s="77" t="n">
        <x:v>18500</x:v>
      </x:c>
      <x:c r="E41" t="inlineStr">
        <x:is>
          <x:t xml:space="preserve">Regular</x:t>
        </x:is>
      </x:c>
      <x:c r="F41" t="inlineStr">
        <x:is>
          <x:t xml:space="preserve">Lapu-Lapu City</x:t>
        </x:is>
      </x:c>
      <x:c r="G41" t="inlineStr">
        <x:is>
          <x:t xml:space="preserve">Administration</x:t>
        </x:is>
      </x:c>
      <x:c r="H41" t="inlineStr">
        <x:is>
          <x:t xml:space="preserve">ADM</x:t>
        </x:is>
      </x:c>
    </x:row>
    <x:row r="42">
      <x:c r="A42" s="10" t="inlineStr">
        <x:is>
          <x:t xml:space="preserve">01100129</x:t>
        </x:is>
      </x:c>
      <x:c r="B42" s="10" t="inlineStr">
        <x:is>
          <x:t xml:space="preserve">Ingrid Irene Garcia</x:t>
        </x:is>
      </x:c>
      <x:c r="C42" s="6" t="inlineStr">
        <x:is>
          <x:t xml:space="preserve">Operations Assistant</x:t>
        </x:is>
      </x:c>
      <x:c r="D42" s="77" t="n">
        <x:v>17500</x:v>
      </x:c>
      <x:c r="E42" t="inlineStr">
        <x:is>
          <x:t xml:space="preserve">Regular</x:t>
        </x:is>
      </x:c>
      <x:c r="F42" t="inlineStr">
        <x:is>
          <x:t xml:space="preserve">Mandaue City</x:t>
        </x:is>
      </x:c>
      <x:c r="G42" t="inlineStr">
        <x:is>
          <x:t xml:space="preserve">Quality Assurance</x:t>
        </x:is>
      </x:c>
      <x:c r="H42" t="inlineStr">
        <x:is>
          <x:t xml:space="preserve">QA</x:t>
        </x:is>
      </x:c>
    </x:row>
    <x:row r="43">
      <x:c r="A43" s="10" t="inlineStr">
        <x:is>
          <x:t xml:space="preserve">01100273</x:t>
        </x:is>
      </x:c>
      <x:c r="B43" s="10" t="inlineStr">
        <x:is>
          <x:t xml:space="preserve">Ira Niña Casiño</x:t>
        </x:is>
      </x:c>
      <x:c r="C43" s="6" t="inlineStr">
        <x:is>
          <x:t xml:space="preserve">HR Assistant</x:t>
        </x:is>
      </x:c>
      <x:c r="D43" s="77" t="n">
        <x:v>17500</x:v>
      </x:c>
      <x:c r="E43" t="inlineStr">
        <x:is>
          <x:t xml:space="preserve">Contractual</x:t>
        </x:is>
      </x:c>
      <x:c r="F43" t="inlineStr">
        <x:is>
          <x:t xml:space="preserve">Lapu-Lapu City</x:t>
        </x:is>
      </x:c>
      <x:c r="G43" t="inlineStr">
        <x:is>
          <x:t xml:space="preserve">Finance</x:t>
        </x:is>
      </x:c>
      <x:c r="H43" t="inlineStr">
        <x:is>
          <x:t xml:space="preserve">FIN</x:t>
        </x:is>
      </x:c>
    </x:row>
    <x:row r="44">
      <x:c r="A44" s="10" t="inlineStr">
        <x:is>
          <x:t xml:space="preserve">02100130</x:t>
        </x:is>
      </x:c>
      <x:c r="B44" s="10" t="inlineStr">
        <x:is>
          <x:t xml:space="preserve">Jafferson Sojor</x:t>
        </x:is>
      </x:c>
      <x:c r="C44" s="6" t="inlineStr">
        <x:is>
          <x:t xml:space="preserve">IT Support Staff</x:t>
        </x:is>
      </x:c>
      <x:c r="D44" s="77" t="n">
        <x:v>18000</x:v>
      </x:c>
      <x:c r="E44" t="inlineStr">
        <x:is>
          <x:t xml:space="preserve">Regular</x:t>
        </x:is>
      </x:c>
      <x:c r="F44" t="inlineStr">
        <x:is>
          <x:t xml:space="preserve">Mandaue City</x:t>
        </x:is>
      </x:c>
      <x:c r="G44" t="inlineStr">
        <x:is>
          <x:t xml:space="preserve">Human Resources</x:t>
        </x:is>
      </x:c>
      <x:c r="H44" t="inlineStr">
        <x:is>
          <x:t xml:space="preserve">HR</x:t>
        </x:is>
      </x:c>
    </x:row>
    <x:row r="45">
      <x:c r="A45" s="10" t="inlineStr">
        <x:is>
          <x:t xml:space="preserve">01100131</x:t>
        </x:is>
      </x:c>
      <x:c r="B45" s="10" t="inlineStr">
        <x:is>
          <x:t xml:space="preserve">James Anthony Adolfo</x:t>
        </x:is>
      </x:c>
      <x:c r="C45" s="6" t="inlineStr">
        <x:is>
          <x:t xml:space="preserve">Technical Support Representative</x:t>
        </x:is>
      </x:c>
      <x:c r="D45" s="77" t="n">
        <x:v>17000</x:v>
      </x:c>
      <x:c r="E45" t="inlineStr">
        <x:is>
          <x:t xml:space="preserve">Regular</x:t>
        </x:is>
      </x:c>
      <x:c r="F45" t="inlineStr">
        <x:is>
          <x:t xml:space="preserve">Mandaue City</x:t>
        </x:is>
      </x:c>
      <x:c r="G45" t="inlineStr">
        <x:is>
          <x:t xml:space="preserve">Administration</x:t>
        </x:is>
      </x:c>
      <x:c r="H45" t="inlineStr">
        <x:is>
          <x:t xml:space="preserve">ADM</x:t>
        </x:is>
      </x:c>
    </x:row>
    <x:row r="46">
      <x:c r="A46" s="10" t="inlineStr">
        <x:is>
          <x:t xml:space="preserve">02100132</x:t>
        </x:is>
      </x:c>
      <x:c r="B46" s="10" t="inlineStr">
        <x:is>
          <x:t xml:space="preserve">James Mitchell E. Monares</x:t>
        </x:is>
      </x:c>
      <x:c r="C46" s="6" t="inlineStr">
        <x:is>
          <x:t xml:space="preserve">Payroll Assistant</x:t>
        </x:is>
      </x:c>
      <x:c r="D46" s="77" t="n">
        <x:v>14500</x:v>
      </x:c>
      <x:c r="E46" t="inlineStr">
        <x:is>
          <x:t xml:space="preserve">Regular</x:t>
        </x:is>
      </x:c>
      <x:c r="F46" t="inlineStr">
        <x:is>
          <x:t xml:space="preserve">Cebu City</x:t>
        </x:is>
      </x:c>
      <x:c r="G46" t="inlineStr">
        <x:is>
          <x:t xml:space="preserve">Human Resources</x:t>
        </x:is>
      </x:c>
      <x:c r="H46" t="inlineStr">
        <x:is>
          <x:t xml:space="preserve">HR</x:t>
        </x:is>
      </x:c>
    </x:row>
    <x:row r="47">
      <x:c r="A47" s="10" t="inlineStr">
        <x:is>
          <x:t xml:space="preserve">02100133</x:t>
        </x:is>
      </x:c>
      <x:c r="B47" s="10" t="inlineStr">
        <x:is>
          <x:t xml:space="preserve">Janely Nayon</x:t>
        </x:is>
      </x:c>
      <x:c r="C47" s="6" t="inlineStr">
        <x:is>
          <x:t xml:space="preserve">Technical Support Representative</x:t>
        </x:is>
      </x:c>
      <x:c r="D47" s="77" t="n">
        <x:v>14500</x:v>
      </x:c>
      <x:c r="E47" t="inlineStr">
        <x:is>
          <x:t xml:space="preserve">Probationary</x:t>
        </x:is>
      </x:c>
      <x:c r="F47" t="inlineStr">
        <x:is>
          <x:t xml:space="preserve">Cebu City</x:t>
        </x:is>
      </x:c>
      <x:c r="G47" t="inlineStr">
        <x:is>
          <x:t xml:space="preserve">Administration</x:t>
        </x:is>
      </x:c>
      <x:c r="H47" t="inlineStr">
        <x:is>
          <x:t xml:space="preserve">ADM</x:t>
        </x:is>
      </x:c>
    </x:row>
    <x:row r="48">
      <x:c r="A48" s="10" t="inlineStr">
        <x:is>
          <x:t xml:space="preserve">01200134</x:t>
        </x:is>
      </x:c>
      <x:c r="B48" s="10" t="inlineStr">
        <x:is>
          <x:t xml:space="preserve">Jarren Legaspino</x:t>
        </x:is>
      </x:c>
      <x:c r="C48" s="6" t="inlineStr">
        <x:is>
          <x:t xml:space="preserve">Payroll Assistant</x:t>
        </x:is>
      </x:c>
      <x:c r="D48" s="77" t="n">
        <x:v>16500</x:v>
      </x:c>
      <x:c r="E48" t="inlineStr">
        <x:is>
          <x:t xml:space="preserve">Contractual</x:t>
        </x:is>
      </x:c>
      <x:c r="F48" t="inlineStr">
        <x:is>
          <x:t xml:space="preserve">Talisay City</x:t>
        </x:is>
      </x:c>
      <x:c r="G48" t="inlineStr">
        <x:is>
          <x:t xml:space="preserve">Human Resources</x:t>
        </x:is>
      </x:c>
      <x:c r="H48" t="inlineStr">
        <x:is>
          <x:t xml:space="preserve">HR</x:t>
        </x:is>
      </x:c>
    </x:row>
    <x:row r="49">
      <x:c r="A49" s="10" t="inlineStr">
        <x:is>
          <x:t xml:space="preserve">01100254</x:t>
        </x:is>
      </x:c>
      <x:c r="B49" s="10" t="inlineStr">
        <x:is>
          <x:t xml:space="preserve">Jay Michael Decepolo</x:t>
        </x:is>
      </x:c>
      <x:c r="C49" s="6" t="inlineStr">
        <x:is>
          <x:t xml:space="preserve">IT Support Staff</x:t>
        </x:is>
      </x:c>
      <x:c r="D49" s="77" t="n">
        <x:v>15500</x:v>
      </x:c>
      <x:c r="E49" t="inlineStr">
        <x:is>
          <x:t xml:space="preserve">Contractual</x:t>
        </x:is>
      </x:c>
      <x:c r="F49" t="inlineStr">
        <x:is>
          <x:t xml:space="preserve">Talisay City</x:t>
        </x:is>
      </x:c>
      <x:c r="G49" t="inlineStr">
        <x:is>
          <x:t xml:space="preserve">Human Resources</x:t>
        </x:is>
      </x:c>
      <x:c r="H49" t="inlineStr">
        <x:is>
          <x:t xml:space="preserve">HR</x:t>
        </x:is>
      </x:c>
    </x:row>
    <x:row r="50">
      <x:c r="A50" s="10" t="inlineStr">
        <x:is>
          <x:t xml:space="preserve">02100135</x:t>
        </x:is>
      </x:c>
      <x:c r="B50" s="10" t="inlineStr">
        <x:is>
          <x:t xml:space="preserve">Jay Pee Antinero</x:t>
        </x:is>
      </x:c>
      <x:c r="C50" s="6" t="inlineStr">
        <x:is>
          <x:t xml:space="preserve">Recruitment Staff</x:t>
        </x:is>
      </x:c>
      <x:c r="D50" s="77" t="n">
        <x:v>21000</x:v>
      </x:c>
      <x:c r="E50" t="inlineStr">
        <x:is>
          <x:t xml:space="preserve">Probationary</x:t>
        </x:is>
      </x:c>
      <x:c r="F50" t="inlineStr">
        <x:is>
          <x:t xml:space="preserve">Mandaue City</x:t>
        </x:is>
      </x:c>
      <x:c r="G50" t="inlineStr">
        <x:is>
          <x:t xml:space="preserve">Operations</x:t>
        </x:is>
      </x:c>
      <x:c r="H50" t="inlineStr">
        <x:is>
          <x:t xml:space="preserve">OPS</x:t>
        </x:is>
      </x:c>
    </x:row>
    <x:row r="51">
      <x:c r="A51" s="10" t="n"/>
      <x:c r="B51" s="10" t="n"/>
      <x:c r="C51" s="6" t="n"/>
      <x:c r="D51" s="78" t="n"/>
      <x:c r="E51" s="15" t="n"/>
    </x:row>
    <x:row r="52">
      <x:c r="A52" s="10" t="n"/>
      <x:c r="B52" s="10" t="n"/>
      <x:c r="D52" s="77" t="n"/>
    </x:row>
    <x:row r="53">
      <x:c r="A53" s="10" t="n"/>
      <x:c r="B53" s="10" t="n"/>
      <x:c r="D53" s="77" t="n"/>
    </x:row>
    <x:row r="54" s="71" customFormat="1" ht="15" customHeight="1">
      <x:c r="A54" s="10" t="n"/>
      <x:c r="B54" s="10" t="n"/>
      <x:c r="D54" s="77" t="n"/>
    </x:row>
    <x:row r="55" s="71" customFormat="1" ht="15" customHeight="1">
      <x:c r="A55" s="10" t="n"/>
      <x:c r="B55" s="10" t="n"/>
      <x:c r="D55" s="77" t="n"/>
    </x:row>
    <x:row r="56">
      <x:c r="A56" s="10" t="n"/>
      <x:c r="B56" s="10" t="n"/>
      <x:c r="D56" s="77" t="n"/>
    </x:row>
    <x:row r="57" s="71" customFormat="1" ht="15" customHeight="1">
      <x:c r="A57" s="10" t="n"/>
      <x:c r="B57" s="10" t="n"/>
      <x:c r="D57" s="77" t="n"/>
    </x:row>
    <x:row r="58" s="71" customFormat="1" ht="15" customHeight="1">
      <x:c r="A58" s="10" t="n"/>
      <x:c r="B58" s="10" t="n"/>
      <x:c r="D58" s="77" t="n"/>
    </x:row>
    <x:row r="59" s="71" customFormat="1" ht="15" customHeight="1">
      <x:c r="A59" s="10" t="n"/>
      <x:c r="B59" s="10" t="n"/>
      <x:c r="D59" s="77" t="n"/>
    </x:row>
    <x:row r="60" s="71" customFormat="1" ht="15" customHeight="1">
      <x:c r="A60" s="10" t="n"/>
      <x:c r="B60" s="10" t="n"/>
      <x:c r="D60" s="77" t="n"/>
    </x:row>
    <x:row r="61" s="71" customFormat="1" ht="15" customHeight="1">
      <x:c r="A61" s="15" t="n"/>
      <x:c r="B61" s="10" t="n"/>
      <x:c r="D61" s="77" t="n"/>
    </x:row>
    <x:row r="62" s="71" customFormat="1" ht="15" customHeight="1">
      <x:c r="A62" s="6" t="n"/>
      <x:c r="B62" s="10" t="n"/>
      <x:c r="D62" s="77" t="n"/>
    </x:row>
    <x:row r="63" s="71" customFormat="1" ht="15" customHeight="1">
      <x:c r="A63" s="6" t="n"/>
      <x:c r="B63" s="10" t="n"/>
      <x:c r="D63" s="77" t="n"/>
    </x:row>
    <x:row r="64" s="71" customFormat="1" ht="15" customHeight="1">
      <x:c r="B64" s="10" t="n"/>
      <x:c r="D64" s="77" t="n"/>
    </x:row>
    <x:row r="65" s="71" customFormat="1" ht="15" customHeight="1">
      <x:c r="B65" s="10" t="n"/>
      <x:c r="D65" s="77" t="n"/>
    </x:row>
    <x:row r="66" s="71" customFormat="1" ht="15" customHeight="1">
      <x:c r="A66" s="10" t="n"/>
      <x:c r="B66" s="10" t="n"/>
      <x:c r="D66" s="77" t="n"/>
    </x:row>
    <x:row r="67" s="71" customFormat="1" ht="15" customHeight="1">
      <x:c r="B67" s="10" t="n"/>
      <x:c r="D67" s="77" t="n"/>
    </x:row>
    <x:row r="68" s="71" customFormat="1" ht="15" customHeight="1">
      <x:c r="B68" s="10" t="n"/>
      <x:c r="D68" s="77" t="n"/>
    </x:row>
    <x:row r="69" s="71" customFormat="1" ht="15" customHeight="1">
      <x:c r="B69" s="10" t="n"/>
      <x:c r="D69" s="77" t="n"/>
    </x:row>
    <x:row r="70" s="71" customFormat="1" ht="15" customHeight="1">
      <x:c r="B70" s="10" t="n"/>
      <x:c r="D70" s="77" t="n"/>
    </x:row>
    <x:row r="71" s="71" customFormat="1" ht="15" customHeight="1">
      <x:c r="B71" s="10" t="n"/>
      <x:c r="D71" s="77" t="n"/>
    </x:row>
    <x:row r="72" s="71" customFormat="1" ht="15" customHeight="1">
      <x:c r="B72" s="10" t="n"/>
      <x:c r="D72" s="77" t="n"/>
    </x:row>
    <x:row r="73" s="71" customFormat="1" ht="15" customHeight="1">
      <x:c r="B73" s="10" t="n"/>
      <x:c r="D73" s="77" t="n"/>
    </x:row>
    <x:row r="74" s="71" customFormat="1" ht="15" customHeight="1">
      <x:c r="B74" s="10" t="n"/>
      <x:c r="D74" s="77" t="n"/>
    </x:row>
    <x:row r="75" s="71" customFormat="1" ht="15" customHeight="1">
      <x:c r="B75" s="10" t="n"/>
      <x:c r="D75" s="77" t="n"/>
    </x:row>
    <x:row r="76" s="71" customFormat="1" ht="15" customHeight="1">
      <x:c r="B76" s="10" t="n"/>
      <x:c r="D76" s="77" t="n"/>
    </x:row>
    <x:row r="77" s="71" customFormat="1" ht="15" customHeight="1">
      <x:c r="B77" s="10" t="n"/>
      <x:c r="D77" s="77" t="n"/>
    </x:row>
    <x:row r="78" s="71" customFormat="1" ht="15" customHeight="1">
      <x:c r="B78" s="10" t="n"/>
      <x:c r="D78" s="77" t="n"/>
    </x:row>
    <x:row r="79" s="71" customFormat="1" ht="15" customHeight="1">
      <x:c r="B79" s="10" t="n"/>
      <x:c r="D79" s="77" t="n"/>
    </x:row>
    <x:row r="80" s="71" customFormat="1" ht="15" customHeight="1">
      <x:c r="B80" s="10" t="n"/>
      <x:c r="D80" s="77" t="n"/>
    </x:row>
    <x:row r="81" s="71" customFormat="1" ht="15" customHeight="1">
      <x:c r="B81" s="10" t="n"/>
      <x:c r="D81" s="77" t="n"/>
    </x:row>
    <x:row r="82" s="71" customFormat="1" ht="15" customHeight="1">
      <x:c r="B82" s="10" t="n"/>
      <x:c r="D82" s="77" t="n"/>
    </x:row>
    <x:row r="83" s="71" customFormat="1" ht="15" customHeight="1">
      <x:c r="B83" s="10" t="n"/>
      <x:c r="D83" s="77" t="n"/>
    </x:row>
    <x:row r="84" s="71" customFormat="1" ht="15" customHeight="1">
      <x:c r="B84" s="10" t="n"/>
      <x:c r="D84" s="77" t="n"/>
    </x:row>
    <x:row r="85" s="71" customFormat="1" ht="15" customHeight="1">
      <x:c r="B85" s="10" t="n"/>
      <x:c r="D85" s="77" t="n"/>
    </x:row>
    <x:row r="86" s="71" customFormat="1" ht="15" customHeight="1">
      <x:c r="B86" s="10" t="n"/>
      <x:c r="D86" s="77" t="n"/>
    </x:row>
    <x:row r="87" s="71" customFormat="1" ht="15" customHeight="1">
      <x:c r="B87" s="10" t="n"/>
      <x:c r="D87" s="77" t="n"/>
    </x:row>
    <x:row r="88" s="71" customFormat="1" ht="15" customHeight="1">
      <x:c r="B88" s="10" t="n"/>
      <x:c r="D88" s="77" t="n"/>
    </x:row>
    <x:row r="89" s="71" customFormat="1" ht="15" customHeight="1">
      <x:c r="B89" s="10" t="n"/>
      <x:c r="D89" s="77" t="n"/>
    </x:row>
    <x:row r="90" s="71" customFormat="1" ht="15" customHeight="1">
      <x:c r="B90" s="10" t="n"/>
      <x:c r="D90" s="77" t="n"/>
    </x:row>
    <x:row r="91" s="71" customFormat="1" ht="15" customHeight="1">
      <x:c r="B91" s="10" t="n"/>
      <x:c r="D91" s="77" t="n"/>
    </x:row>
    <x:row r="92" s="71" customFormat="1" ht="15" customHeight="1">
      <x:c r="B92" s="10" t="n"/>
      <x:c r="D92" s="77" t="n"/>
    </x:row>
    <x:row r="93" s="71" customFormat="1" ht="15" customHeight="1">
      <x:c r="B93" s="10" t="n"/>
      <x:c r="D93" s="77" t="n"/>
    </x:row>
    <x:row r="94" s="71" customFormat="1" ht="15" customHeight="1">
      <x:c r="B94" s="10" t="n"/>
      <x:c r="D94" s="77" t="n"/>
    </x:row>
    <x:row r="95" s="71" customFormat="1" ht="15" customHeight="1">
      <x:c r="B95" s="10" t="n"/>
      <x:c r="D95" s="77" t="n"/>
    </x:row>
    <x:row r="96" s="71" customFormat="1" ht="15" customHeight="1">
      <x:c r="B96" s="10" t="n"/>
      <x:c r="D96" s="77" t="n"/>
    </x:row>
    <x:row r="97" s="71" customFormat="1" ht="15" customHeight="1">
      <x:c r="B97" s="10" t="n"/>
      <x:c r="D97" s="77" t="n"/>
    </x:row>
    <x:row r="98" s="71" customFormat="1" ht="15" customHeight="1">
      <x:c r="B98" s="10" t="n"/>
      <x:c r="D98" s="77" t="n"/>
    </x:row>
    <x:row r="99" s="71" customFormat="1" ht="15" customHeight="1">
      <x:c r="B99" s="10" t="n"/>
      <x:c r="D99" s="77" t="n"/>
    </x:row>
    <x:row r="100" s="71" customFormat="1" ht="15" customHeight="1">
      <x:c r="B100" s="10" t="n"/>
      <x:c r="D100" s="77" t="n"/>
    </x:row>
    <x:row r="101" s="71" customFormat="1" ht="15" customHeight="1">
      <x:c r="B101" s="10" t="n"/>
      <x:c r="D101" s="77" t="n"/>
    </x:row>
    <x:row r="102" s="71" customFormat="1" ht="15" customHeight="1">
      <x:c r="B102" s="10" t="n"/>
      <x:c r="D102" s="77" t="n"/>
    </x:row>
    <x:row r="103" s="71" customFormat="1" ht="15" customHeight="1">
      <x:c r="B103" s="10" t="n"/>
      <x:c r="D103" s="77" t="n"/>
    </x:row>
    <x:row r="104" s="71" customFormat="1" ht="15" customHeight="1">
      <x:c r="B104" s="10" t="n"/>
      <x:c r="D104" s="77" t="n"/>
    </x:row>
    <x:row r="105" s="71" customFormat="1" ht="15" customHeight="1">
      <x:c r="B105" s="10" t="n"/>
      <x:c r="D105" s="77" t="n"/>
    </x:row>
    <x:row r="106" s="71" customFormat="1" ht="15" customHeight="1">
      <x:c r="B106" s="10" t="n"/>
      <x:c r="D106" s="77" t="n"/>
    </x:row>
    <x:row r="107" s="71" customFormat="1" ht="15" customHeight="1">
      <x:c r="B107" s="15" t="inlineStr">
        <x:is>
          <x:t xml:space="preserve">Grand Total</x:t>
        </x:is>
      </x:c>
      <x:c r="D107" s="77" t="n"/>
    </x:row>
    <x:row r="108" s="71" customFormat="1" ht="15" customHeight="1">
      <x:c r="B108" s="6" t="n"/>
      <x:c r="D108" s="77" t="n"/>
    </x:row>
    <x:row r="109" s="71" customFormat="1" ht="15" customHeight="1">
      <x:c r="B109" s="6" t="n"/>
      <x:c r="D109" s="77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4.44140625" defaultRowHeight="14.399999618530273"/>
  <x:cols>
    <x:col min="1" max="1" width="10.5546875" style="71" customWidth="1"/>
    <x:col min="2" max="2" width="29" style="71" customWidth="1"/>
    <x:col min="3" max="17" width="13.33203125" style="71" customWidth="1"/>
    <x:col min="18" max="19" width="14" style="71" customWidth="1"/>
    <x:col min="20" max="20" width="12" style="71" customWidth="1"/>
    <x:col min="21" max="21" width="15" style="71" customWidth="1"/>
    <x:col min="22" max="22" width="16" style="71" customWidth="1"/>
    <x:col min="23" max="23" width="18" style="71" customWidth="1"/>
  </x:cols>
  <x:sheetData>
    <x:row r="1" s="62" customFormat="1" ht="14.399999618530273" customHeight="1">
      <x:c r="A1" s="59" t="inlineStr">
        <x:is>
          <x:t xml:space="preserve">Emp ID</x:t>
        </x:is>
      </x:c>
      <x:c r="B1" s="59" t="inlineStr">
        <x:is>
          <x:t xml:space="preserve">Employee Name</x:t>
        </x:is>
      </x:c>
      <x:c r="C1" s="60" t="n">
        <x:v>45946</x:v>
      </x:c>
      <x:c r="D1" s="60" t="n">
        <x:v>45947</x:v>
      </x:c>
      <x:c r="E1" s="60" t="n">
        <x:v>45948</x:v>
      </x:c>
      <x:c r="F1" s="60" t="n">
        <x:v>45949</x:v>
      </x:c>
      <x:c r="G1" s="60" t="n">
        <x:v>45950</x:v>
      </x:c>
      <x:c r="H1" s="60" t="n">
        <x:v>45951</x:v>
      </x:c>
      <x:c r="I1" s="60" t="n">
        <x:v>45952</x:v>
      </x:c>
      <x:c r="J1" s="60" t="n">
        <x:v>45953</x:v>
      </x:c>
      <x:c r="K1" s="60" t="n">
        <x:v>45954</x:v>
      </x:c>
      <x:c r="L1" s="60" t="n">
        <x:v>45955</x:v>
      </x:c>
      <x:c r="M1" s="60" t="n">
        <x:v>45956</x:v>
      </x:c>
      <x:c r="N1" s="60" t="n">
        <x:v>45957</x:v>
      </x:c>
      <x:c r="O1" s="60" t="n">
        <x:v>45958</x:v>
      </x:c>
      <x:c r="P1" s="60" t="n">
        <x:v>45959</x:v>
      </x:c>
      <x:c r="Q1" s="60" t="n">
        <x:v>45960</x:v>
      </x:c>
      <x:c r="R1" s="60" t="n">
        <x:v>45961</x:v>
      </x:c>
      <x:c r="S1" s="61" t="inlineStr">
        <x:is>
          <x:t xml:space="preserve">Grand Total</x:t>
        </x:is>
      </x:c>
      <x:c r="T1" s="60" t="inlineStr">
        <x:is>
          <x:t xml:space="preserve">Absent Hrs</x:t>
        </x:is>
      </x:c>
      <x:c r="U1" s="60" t="inlineStr">
        <x:is>
          <x:t xml:space="preserve">Night Shift Hrs</x:t>
        </x:is>
      </x:c>
      <x:c r="V1" s="60" t="inlineStr">
        <x:is>
          <x:t xml:space="preserve">Salary Adjustment</x:t>
        </x:is>
      </x:c>
      <x:c r="W1" s="59" t="inlineStr">
        <x:is>
          <x:t xml:space="preserve">Cut-off</x:t>
        </x:is>
      </x:c>
    </x:row>
    <x:row r="2" s="71" customFormat="1" ht="14.399999618530273" customHeight="1">
      <x:c r="A2" s="10" t="inlineStr">
        <x:is>
          <x:t xml:space="preserve">01100240</x:t>
        </x:is>
      </x:c>
      <x:c r="B2" s="10" t="inlineStr">
        <x:is>
          <x:t xml:space="preserve">Abegail Mandras</x:t>
        </x:is>
      </x:c>
      <x:c r="C2" s="11" t="n">
        <x:v>8</x:v>
      </x:c>
      <x:c r="D2" s="11" t="n">
        <x:v>8</x:v>
      </x:c>
      <x:c r="E2" s="11" t="n"/>
      <x:c r="F2" s="11" t="n"/>
      <x:c r="G2" s="11" t="n">
        <x:v>8</x:v>
      </x:c>
      <x:c r="H2" s="11" t="n">
        <x:v>8</x:v>
      </x:c>
      <x:c r="I2" s="11" t="n">
        <x:v>0</x:v>
      </x:c>
      <x:c r="J2" s="11" t="n">
        <x:v>6</x:v>
      </x:c>
      <x:c r="K2" s="11" t="n">
        <x:v>8</x:v>
      </x:c>
      <x:c r="L2" s="11" t="n"/>
      <x:c r="M2" s="11" t="n"/>
      <x:c r="N2" s="11" t="n">
        <x:v>8</x:v>
      </x:c>
      <x:c r="O2" s="11" t="n">
        <x:v>8</x:v>
      </x:c>
      <x:c r="P2" s="11" t="n">
        <x:v>8</x:v>
      </x:c>
      <x:c r="Q2" s="11" t="n">
        <x:v>8</x:v>
      </x:c>
      <x:c r="R2" s="12" t="n">
        <x:v>4</x:v>
      </x:c>
      <x:c r="S2" s="13">
        <x:f>SUM(C2:R2)</x:f>
        <x:v>82</x:v>
      </x:c>
      <x:c r="T2" s="11">
        <x:f>MAX(0,96-S2)</x:f>
        <x:v>14</x:v>
      </x:c>
      <x:c r="U2" s="11" t="n">
        <x:v>4</x:v>
      </x:c>
      <x:c r="V2" s="79" t="n">
        <x:v>350</x:v>
      </x:c>
      <x:c r="W2" s="10" t="inlineStr">
        <x:is>
          <x:t xml:space="preserve">Oct 16-31, 2025</x:t>
        </x:is>
      </x:c>
    </x:row>
    <x:row r="3" s="71" customFormat="1" ht="14.399999618530273" customHeight="1">
      <x:c r="A3" s="10" t="inlineStr">
        <x:is>
          <x:t xml:space="preserve">01100277</x:t>
        </x:is>
      </x:c>
      <x:c r="B3" s="10" t="inlineStr">
        <x:is>
          <x:t xml:space="preserve">Adrian Lawat</x:t>
        </x:is>
      </x:c>
      <x:c r="C3" s="11" t="n">
        <x:v>8</x:v>
      </x:c>
      <x:c r="D3" s="11" t="n">
        <x:v>8</x:v>
      </x:c>
      <x:c r="E3" s="11" t="n"/>
      <x:c r="F3" s="11" t="n"/>
      <x:c r="G3" s="11" t="n">
        <x:v>8</x:v>
      </x:c>
      <x:c r="H3" s="11" t="n">
        <x:v>8</x:v>
      </x:c>
      <x:c r="I3" s="11" t="n">
        <x:v>8</x:v>
      </x:c>
      <x:c r="J3" s="11" t="n">
        <x:v>8</x:v>
      </x:c>
      <x:c r="K3" s="11" t="n">
        <x:v>7.5</x:v>
      </x:c>
      <x:c r="L3" s="11" t="n"/>
      <x:c r="M3" s="11" t="n"/>
      <x:c r="N3" s="11" t="n">
        <x:v>8</x:v>
      </x:c>
      <x:c r="O3" s="11" t="n">
        <x:v>7.25</x:v>
      </x:c>
      <x:c r="P3" s="11" t="n">
        <x:v>8</x:v>
      </x:c>
      <x:c r="Q3" s="11" t="n">
        <x:v>8</x:v>
      </x:c>
      <x:c r="R3" s="12" t="n">
        <x:v>8</x:v>
      </x:c>
      <x:c r="S3" s="13">
        <x:f>SUM(C3:R3)</x:f>
        <x:v>94.75</x:v>
      </x:c>
      <x:c r="T3" s="11">
        <x:f>MAX(0,96-S3)</x:f>
        <x:v>1.25</x:v>
      </x:c>
      <x:c r="U3" s="11" t="n">
        <x:v>24</x:v>
      </x:c>
      <x:c r="V3" s="79" t="n">
        <x:v>350</x:v>
      </x:c>
      <x:c r="W3" s="10" t="inlineStr">
        <x:is>
          <x:t xml:space="preserve">Oct 16-31, 2025</x:t>
        </x:is>
      </x:c>
    </x:row>
    <x:row r="4" s="71" customFormat="1" ht="14.399999618530273" customHeight="1">
      <x:c r="A4" s="10" t="inlineStr">
        <x:is>
          <x:t xml:space="preserve">02100100</x:t>
        </x:is>
      </x:c>
      <x:c r="B4" s="10" t="inlineStr">
        <x:is>
          <x:t xml:space="preserve">Aillen Joy Largo</x:t>
        </x:is>
      </x:c>
      <x:c r="C4" s="11" t="n">
        <x:v>8</x:v>
      </x:c>
      <x:c r="D4" s="11" t="n">
        <x:v>6</x:v>
      </x:c>
      <x:c r="E4" s="11" t="n"/>
      <x:c r="F4" s="11" t="n"/>
      <x:c r="G4" s="11" t="n">
        <x:v>8</x:v>
      </x:c>
      <x:c r="H4" s="11" t="n">
        <x:v>8</x:v>
      </x:c>
      <x:c r="I4" s="11" t="n">
        <x:v>8</x:v>
      </x:c>
      <x:c r="J4" s="11" t="n">
        <x:v>8</x:v>
      </x:c>
      <x:c r="K4" s="11" t="n">
        <x:v>8</x:v>
      </x:c>
      <x:c r="L4" s="11" t="n"/>
      <x:c r="M4" s="11" t="n"/>
      <x:c r="N4" s="11" t="n">
        <x:v>8</x:v>
      </x:c>
      <x:c r="O4" s="11" t="n">
        <x:v>8</x:v>
      </x:c>
      <x:c r="P4" s="11" t="n">
        <x:v>8</x:v>
      </x:c>
      <x:c r="Q4" s="11" t="n">
        <x:v>6</x:v>
      </x:c>
      <x:c r="R4" s="12" t="n">
        <x:v>4</x:v>
      </x:c>
      <x:c r="S4" s="13">
        <x:f>SUM(C4:R4)</x:f>
        <x:v>88</x:v>
      </x:c>
      <x:c r="T4" s="11">
        <x:f>MAX(0,96-S4)</x:f>
        <x:v>8</x:v>
      </x:c>
      <x:c r="U4" s="11" t="n">
        <x:v>0</x:v>
      </x:c>
      <x:c r="V4" s="79" t="n">
        <x:v>350</x:v>
      </x:c>
      <x:c r="W4" s="10" t="inlineStr">
        <x:is>
          <x:t xml:space="preserve">Oct 16-31, 2025</x:t>
        </x:is>
      </x:c>
    </x:row>
    <x:row r="5" s="71" customFormat="1" ht="14.399999618530273" customHeight="1">
      <x:c r="A5" s="10" t="inlineStr">
        <x:is>
          <x:t xml:space="preserve">01100328</x:t>
        </x:is>
      </x:c>
      <x:c r="B5" s="10" t="inlineStr">
        <x:is>
          <x:t xml:space="preserve">Al Mario Bahala</x:t>
        </x:is>
      </x:c>
      <x:c r="C5" s="11" t="n">
        <x:v>0</x:v>
      </x:c>
      <x:c r="D5" s="11" t="n">
        <x:v>0</x:v>
      </x:c>
      <x:c r="E5" s="11" t="n"/>
      <x:c r="F5" s="11" t="n"/>
      <x:c r="G5" s="11" t="n">
        <x:v>8</x:v>
      </x:c>
      <x:c r="H5" s="11" t="n">
        <x:v>8</x:v>
      </x:c>
      <x:c r="I5" s="11" t="n">
        <x:v>8</x:v>
      </x:c>
      <x:c r="J5" s="11" t="n">
        <x:v>8</x:v>
      </x:c>
      <x:c r="K5" s="11" t="n">
        <x:v>7.5</x:v>
      </x:c>
      <x:c r="L5" s="11" t="n"/>
      <x:c r="M5" s="11" t="n"/>
      <x:c r="N5" s="11" t="n">
        <x:v>8</x:v>
      </x:c>
      <x:c r="O5" s="11" t="n">
        <x:v>8</x:v>
      </x:c>
      <x:c r="P5" s="11" t="n">
        <x:v>6</x:v>
      </x:c>
      <x:c r="Q5" s="11" t="n">
        <x:v>8</x:v>
      </x:c>
      <x:c r="R5" s="12" t="n">
        <x:v>0</x:v>
      </x:c>
      <x:c r="S5" s="13">
        <x:f>SUM(C5:R5)</x:f>
        <x:v>69.5</x:v>
      </x:c>
      <x:c r="T5" s="11">
        <x:f>MAX(0,96-S5)</x:f>
        <x:v>26.5</x:v>
      </x:c>
      <x:c r="U5" s="11" t="n">
        <x:v>12</x:v>
      </x:c>
      <x:c r="V5" s="79" t="n">
        <x:v>0</x:v>
      </x:c>
      <x:c r="W5" s="10" t="inlineStr">
        <x:is>
          <x:t xml:space="preserve">Oct 16-31, 2025</x:t>
        </x:is>
      </x:c>
    </x:row>
    <x:row r="6" s="71" customFormat="1" ht="14.399999618530273" customHeight="1">
      <x:c r="A6" s="10" t="inlineStr">
        <x:is>
          <x:t xml:space="preserve">02100334</x:t>
        </x:is>
      </x:c>
      <x:c r="B6" s="10" t="inlineStr">
        <x:is>
          <x:t xml:space="preserve">Alvin Lozada</x:t>
        </x:is>
      </x:c>
      <x:c r="C6" s="11" t="n">
        <x:v>8</x:v>
      </x:c>
      <x:c r="D6" s="11" t="n">
        <x:v>8</x:v>
      </x:c>
      <x:c r="E6" s="11" t="n"/>
      <x:c r="F6" s="11" t="n"/>
      <x:c r="G6" s="11" t="n">
        <x:v>8</x:v>
      </x:c>
      <x:c r="H6" s="11" t="n">
        <x:v>8</x:v>
      </x:c>
      <x:c r="I6" s="11" t="n">
        <x:v>8</x:v>
      </x:c>
      <x:c r="J6" s="11" t="n">
        <x:v>8</x:v>
      </x:c>
      <x:c r="K6" s="11" t="n">
        <x:v>8</x:v>
      </x:c>
      <x:c r="L6" s="11" t="n"/>
      <x:c r="M6" s="11" t="n"/>
      <x:c r="N6" s="11" t="n">
        <x:v>8</x:v>
      </x:c>
      <x:c r="O6" s="11" t="n">
        <x:v>8</x:v>
      </x:c>
      <x:c r="P6" s="11" t="n">
        <x:v>8</x:v>
      </x:c>
      <x:c r="Q6" s="11" t="n">
        <x:v>8</x:v>
      </x:c>
      <x:c r="R6" s="12" t="n">
        <x:v>0</x:v>
      </x:c>
      <x:c r="S6" s="13">
        <x:f>SUM(C6:R6)</x:f>
        <x:v>88</x:v>
      </x:c>
      <x:c r="T6" s="11">
        <x:f>MAX(0,96-S6)</x:f>
        <x:v>8</x:v>
      </x:c>
      <x:c r="U6" s="11" t="n">
        <x:v>16</x:v>
      </x:c>
      <x:c r="V6" s="79" t="n">
        <x:v>0</x:v>
      </x:c>
      <x:c r="W6" s="10" t="inlineStr">
        <x:is>
          <x:t xml:space="preserve">Oct 16-31, 2025</x:t>
        </x:is>
      </x:c>
    </x:row>
    <x:row r="7" s="71" customFormat="1" ht="14.399999618530273" customHeight="1">
      <x:c r="A7" s="10" t="inlineStr">
        <x:is>
          <x:t xml:space="preserve">01100101</x:t>
        </x:is>
      </x:c>
      <x:c r="B7" s="10" t="inlineStr">
        <x:is>
          <x:t xml:space="preserve">Andrea Ceniza</x:t>
        </x:is>
      </x:c>
      <x:c r="C7" s="11" t="n">
        <x:v>8</x:v>
      </x:c>
      <x:c r="D7" s="11" t="n">
        <x:v>4</x:v>
      </x:c>
      <x:c r="E7" s="11" t="n"/>
      <x:c r="F7" s="11" t="n"/>
      <x:c r="G7" s="11" t="n">
        <x:v>0</x:v>
      </x:c>
      <x:c r="H7" s="11" t="n">
        <x:v>8</x:v>
      </x:c>
      <x:c r="I7" s="11" t="n">
        <x:v>8</x:v>
      </x:c>
      <x:c r="J7" s="11" t="n">
        <x:v>8</x:v>
      </x:c>
      <x:c r="K7" s="11" t="n">
        <x:v>8</x:v>
      </x:c>
      <x:c r="L7" s="11" t="n"/>
      <x:c r="M7" s="11" t="n"/>
      <x:c r="N7" s="11" t="n">
        <x:v>7.75</x:v>
      </x:c>
      <x:c r="O7" s="11" t="n">
        <x:v>8</x:v>
      </x:c>
      <x:c r="P7" s="11" t="n">
        <x:v>8</x:v>
      </x:c>
      <x:c r="Q7" s="11" t="n">
        <x:v>4</x:v>
      </x:c>
      <x:c r="R7" s="12" t="n">
        <x:v>8</x:v>
      </x:c>
      <x:c r="S7" s="13">
        <x:f>SUM(C7:R7)</x:f>
        <x:v>79.75</x:v>
      </x:c>
      <x:c r="T7" s="11">
        <x:f>MAX(0,96-S7)</x:f>
        <x:v>16.25</x:v>
      </x:c>
      <x:c r="U7" s="11" t="n">
        <x:v>4</x:v>
      </x:c>
      <x:c r="V7" s="79" t="n">
        <x:v>0</x:v>
      </x:c>
      <x:c r="W7" s="10" t="inlineStr">
        <x:is>
          <x:t xml:space="preserve">Oct 16-31, 2025</x:t>
        </x:is>
      </x:c>
    </x:row>
    <x:row r="8" s="71" customFormat="1" ht="14.399999618530273" customHeight="1">
      <x:c r="A8" s="10" t="inlineStr">
        <x:is>
          <x:t xml:space="preserve">02100103</x:t>
        </x:is>
      </x:c>
      <x:c r="B8" s="10" t="inlineStr">
        <x:is>
          <x:t xml:space="preserve">Angelica Paligsa</x:t>
        </x:is>
      </x:c>
      <x:c r="C8" s="11" t="n">
        <x:v>8</x:v>
      </x:c>
      <x:c r="D8" s="11" t="n">
        <x:v>8</x:v>
      </x:c>
      <x:c r="E8" s="11" t="n"/>
      <x:c r="F8" s="11" t="n"/>
      <x:c r="G8" s="11" t="n">
        <x:v>8</x:v>
      </x:c>
      <x:c r="H8" s="11" t="n">
        <x:v>8</x:v>
      </x:c>
      <x:c r="I8" s="11" t="n">
        <x:v>8</x:v>
      </x:c>
      <x:c r="J8" s="11" t="n">
        <x:v>8</x:v>
      </x:c>
      <x:c r="K8" s="11" t="n">
        <x:v>8</x:v>
      </x:c>
      <x:c r="L8" s="11" t="n"/>
      <x:c r="M8" s="11" t="n">
        <x:v>8</x:v>
      </x:c>
      <x:c r="N8" s="11" t="n">
        <x:v>8</x:v>
      </x:c>
      <x:c r="O8" s="11" t="n">
        <x:v>8</x:v>
      </x:c>
      <x:c r="P8" s="11" t="n">
        <x:v>0</x:v>
      </x:c>
      <x:c r="Q8" s="11" t="n">
        <x:v>8</x:v>
      </x:c>
      <x:c r="R8" s="12" t="n">
        <x:v>4</x:v>
      </x:c>
      <x:c r="S8" s="13">
        <x:f>SUM(C8:R8)</x:f>
        <x:v>92</x:v>
      </x:c>
      <x:c r="T8" s="11">
        <x:f>MAX(0,96-S8)</x:f>
        <x:v>4</x:v>
      </x:c>
      <x:c r="U8" s="11" t="n">
        <x:v>16</x:v>
      </x:c>
      <x:c r="V8" s="79" t="n">
        <x:v>500</x:v>
      </x:c>
      <x:c r="W8" s="10" t="inlineStr">
        <x:is>
          <x:t xml:space="preserve">Oct 16-31, 2025</x:t>
        </x:is>
      </x:c>
    </x:row>
    <x:row r="9" s="71" customFormat="1" ht="14.399999618530273" customHeight="1">
      <x:c r="A9" s="10" t="inlineStr">
        <x:is>
          <x:t xml:space="preserve">02100104</x:t>
        </x:is>
      </x:c>
      <x:c r="B9" s="10" t="inlineStr">
        <x:is>
          <x:t xml:space="preserve">Ann Lou Minguito</x:t>
        </x:is>
      </x:c>
      <x:c r="C9" s="11" t="n">
        <x:v>6</x:v>
      </x:c>
      <x:c r="D9" s="11" t="n">
        <x:v>8</x:v>
      </x:c>
      <x:c r="E9" s="11" t="n"/>
      <x:c r="F9" s="11" t="n"/>
      <x:c r="G9" s="11" t="n">
        <x:v>7.5</x:v>
      </x:c>
      <x:c r="H9" s="11" t="n">
        <x:v>8</x:v>
      </x:c>
      <x:c r="I9" s="11" t="n">
        <x:v>8</x:v>
      </x:c>
      <x:c r="J9" s="11" t="n">
        <x:v>0</x:v>
      </x:c>
      <x:c r="K9" s="11" t="n">
        <x:v>4</x:v>
      </x:c>
      <x:c r="L9" s="11" t="n"/>
      <x:c r="M9" s="11" t="n"/>
      <x:c r="N9" s="11" t="n">
        <x:v>8</x:v>
      </x:c>
      <x:c r="O9" s="11" t="n">
        <x:v>8</x:v>
      </x:c>
      <x:c r="P9" s="11" t="n">
        <x:v>8</x:v>
      </x:c>
      <x:c r="Q9" s="11" t="n">
        <x:v>8</x:v>
      </x:c>
      <x:c r="R9" s="12" t="n">
        <x:v>4</x:v>
      </x:c>
      <x:c r="S9" s="13">
        <x:f>SUM(C9:R9)</x:f>
        <x:v>77.5</x:v>
      </x:c>
      <x:c r="T9" s="11">
        <x:f>MAX(0,96-S9)</x:f>
        <x:v>18.5</x:v>
      </x:c>
      <x:c r="U9" s="11" t="n">
        <x:v>4</x:v>
      </x:c>
      <x:c r="V9" s="79" t="n">
        <x:v>0</x:v>
      </x:c>
      <x:c r="W9" s="10" t="inlineStr">
        <x:is>
          <x:t xml:space="preserve">Oct 16-31, 2025</x:t>
        </x:is>
      </x:c>
    </x:row>
    <x:row r="10" s="71" customFormat="1" ht="14.399999618530273" customHeight="1">
      <x:c r="A10" s="10" t="inlineStr">
        <x:is>
          <x:t xml:space="preserve">02200105</x:t>
        </x:is>
      </x:c>
      <x:c r="B10" s="10" t="inlineStr">
        <x:is>
          <x:t xml:space="preserve">Anna Marie Tabares</x:t>
        </x:is>
      </x:c>
      <x:c r="C10" s="11" t="n">
        <x:v>8</x:v>
      </x:c>
      <x:c r="D10" s="11" t="n">
        <x:v>0</x:v>
      </x:c>
      <x:c r="E10" s="11" t="n"/>
      <x:c r="F10" s="11" t="n"/>
      <x:c r="G10" s="11" t="n">
        <x:v>7.75</x:v>
      </x:c>
      <x:c r="H10" s="11" t="n">
        <x:v>8</x:v>
      </x:c>
      <x:c r="I10" s="11" t="n">
        <x:v>8</x:v>
      </x:c>
      <x:c r="J10" s="11" t="n">
        <x:v>8</x:v>
      </x:c>
      <x:c r="K10" s="11" t="n">
        <x:v>8</x:v>
      </x:c>
      <x:c r="L10" s="11" t="n"/>
      <x:c r="M10" s="11" t="n"/>
      <x:c r="N10" s="11" t="n">
        <x:v>8</x:v>
      </x:c>
      <x:c r="O10" s="11" t="n">
        <x:v>8</x:v>
      </x:c>
      <x:c r="P10" s="11" t="n">
        <x:v>8</x:v>
      </x:c>
      <x:c r="Q10" s="11" t="n">
        <x:v>8</x:v>
      </x:c>
      <x:c r="R10" s="12" t="n">
        <x:v>6</x:v>
      </x:c>
      <x:c r="S10" s="13">
        <x:f>SUM(C10:R10)</x:f>
        <x:v>85.75</x:v>
      </x:c>
      <x:c r="T10" s="11">
        <x:f>MAX(0,96-S10)</x:f>
        <x:v>10.25</x:v>
      </x:c>
      <x:c r="U10" s="11" t="n">
        <x:v>16</x:v>
      </x:c>
      <x:c r="V10" s="79" t="n">
        <x:v>200</x:v>
      </x:c>
      <x:c r="W10" s="10" t="inlineStr">
        <x:is>
          <x:t xml:space="preserve">Oct 16-31, 2025</x:t>
        </x:is>
      </x:c>
    </x:row>
    <x:row r="11" s="71" customFormat="1" ht="14.399999618530273" customHeight="1">
      <x:c r="A11" s="10" t="inlineStr">
        <x:is>
          <x:t xml:space="preserve">02100106</x:t>
        </x:is>
      </x:c>
      <x:c r="B11" s="10" t="inlineStr">
        <x:is>
          <x:t xml:space="preserve">Anna Mica Ella Punongbayan</x:t>
        </x:is>
      </x:c>
      <x:c r="C11" s="11" t="n">
        <x:v>8</x:v>
      </x:c>
      <x:c r="D11" s="11" t="n">
        <x:v>4</x:v>
      </x:c>
      <x:c r="E11" s="11" t="n"/>
      <x:c r="F11" s="11" t="n"/>
      <x:c r="G11" s="11" t="n">
        <x:v>8</x:v>
      </x:c>
      <x:c r="H11" s="11" t="n">
        <x:v>8</x:v>
      </x:c>
      <x:c r="I11" s="11" t="n">
        <x:v>8</x:v>
      </x:c>
      <x:c r="J11" s="11" t="n">
        <x:v>8</x:v>
      </x:c>
      <x:c r="K11" s="11" t="n">
        <x:v>8</x:v>
      </x:c>
      <x:c r="L11" s="11" t="n"/>
      <x:c r="M11" s="11" t="n"/>
      <x:c r="N11" s="11" t="n">
        <x:v>8</x:v>
      </x:c>
      <x:c r="O11" s="11" t="n">
        <x:v>8</x:v>
      </x:c>
      <x:c r="P11" s="11" t="n">
        <x:v>0</x:v>
      </x:c>
      <x:c r="Q11" s="11" t="n">
        <x:v>8</x:v>
      </x:c>
      <x:c r="R11" s="12" t="n">
        <x:v>0</x:v>
      </x:c>
      <x:c r="S11" s="13">
        <x:f>SUM(C11:R11)</x:f>
        <x:v>76</x:v>
      </x:c>
      <x:c r="T11" s="11">
        <x:f>MAX(0,96-S11)</x:f>
        <x:v>20</x:v>
      </x:c>
      <x:c r="U11" s="11" t="n">
        <x:v>16</x:v>
      </x:c>
      <x:c r="V11" s="79" t="n">
        <x:v>0</x:v>
      </x:c>
      <x:c r="W11" s="10" t="inlineStr">
        <x:is>
          <x:t xml:space="preserve">Oct 16-31, 2025</x:t>
        </x:is>
      </x:c>
    </x:row>
    <x:row r="12" s="71" customFormat="1" ht="14.399999618530273" customHeight="1">
      <x:c r="A12" s="10" t="inlineStr">
        <x:is>
          <x:t xml:space="preserve">02100227</x:t>
        </x:is>
      </x:c>
      <x:c r="B12" s="10" t="inlineStr">
        <x:is>
          <x:t xml:space="preserve">April Jane Elnar</x:t>
        </x:is>
      </x:c>
      <x:c r="C12" s="11" t="n">
        <x:v>8</x:v>
      </x:c>
      <x:c r="D12" s="11" t="n">
        <x:v>6</x:v>
      </x:c>
      <x:c r="E12" s="11" t="n"/>
      <x:c r="F12" s="11" t="n"/>
      <x:c r="G12" s="11" t="n">
        <x:v>8</x:v>
      </x:c>
      <x:c r="H12" s="11" t="n">
        <x:v>8</x:v>
      </x:c>
      <x:c r="I12" s="11" t="n">
        <x:v>8</x:v>
      </x:c>
      <x:c r="J12" s="11" t="n">
        <x:v>7.25</x:v>
      </x:c>
      <x:c r="K12" s="11" t="n">
        <x:v>8</x:v>
      </x:c>
      <x:c r="L12" s="11" t="n"/>
      <x:c r="M12" s="11" t="n"/>
      <x:c r="N12" s="11" t="n">
        <x:v>8</x:v>
      </x:c>
      <x:c r="O12" s="11" t="n">
        <x:v>8</x:v>
      </x:c>
      <x:c r="P12" s="11" t="n">
        <x:v>7.25</x:v>
      </x:c>
      <x:c r="Q12" s="11" t="n">
        <x:v>8</x:v>
      </x:c>
      <x:c r="R12" s="12" t="n">
        <x:v>8</x:v>
      </x:c>
      <x:c r="S12" s="13">
        <x:f>SUM(C12:R12)</x:f>
        <x:v>92.5</x:v>
      </x:c>
      <x:c r="T12" s="11">
        <x:f>MAX(0,96-S12)</x:f>
        <x:v>3.5</x:v>
      </x:c>
      <x:c r="U12" s="11" t="n">
        <x:v>4</x:v>
      </x:c>
      <x:c r="V12" s="79" t="n">
        <x:v>350</x:v>
      </x:c>
      <x:c r="W12" s="10" t="inlineStr">
        <x:is>
          <x:t xml:space="preserve">Oct 16-31, 2025</x:t>
        </x:is>
      </x:c>
    </x:row>
    <x:row r="13" s="71" customFormat="1" ht="14.399999618530273" customHeight="1">
      <x:c r="A13" s="10" t="inlineStr">
        <x:is>
          <x:t xml:space="preserve">02100194</x:t>
        </x:is>
      </x:c>
      <x:c r="B13" s="10" t="inlineStr">
        <x:is>
          <x:t xml:space="preserve">April Sanchez</x:t>
        </x:is>
      </x:c>
      <x:c r="C13" s="11" t="n">
        <x:v>8</x:v>
      </x:c>
      <x:c r="D13" s="11" t="n">
        <x:v>4</x:v>
      </x:c>
      <x:c r="E13" s="11" t="n"/>
      <x:c r="F13" s="11" t="n"/>
      <x:c r="G13" s="11" t="n">
        <x:v>8</x:v>
      </x:c>
      <x:c r="H13" s="11" t="n">
        <x:v>8</x:v>
      </x:c>
      <x:c r="I13" s="11" t="n">
        <x:v>8</x:v>
      </x:c>
      <x:c r="J13" s="11" t="n">
        <x:v>8</x:v>
      </x:c>
      <x:c r="K13" s="11" t="n">
        <x:v>8</x:v>
      </x:c>
      <x:c r="L13" s="11" t="n"/>
      <x:c r="M13" s="11" t="n"/>
      <x:c r="N13" s="11" t="n">
        <x:v>8</x:v>
      </x:c>
      <x:c r="O13" s="11" t="n">
        <x:v>8</x:v>
      </x:c>
      <x:c r="P13" s="11" t="n">
        <x:v>7.25</x:v>
      </x:c>
      <x:c r="Q13" s="11" t="n">
        <x:v>8</x:v>
      </x:c>
      <x:c r="R13" s="12" t="n">
        <x:v>0</x:v>
      </x:c>
      <x:c r="S13" s="13">
        <x:f>SUM(C13:R13)</x:f>
        <x:v>83.25</x:v>
      </x:c>
      <x:c r="T13" s="11">
        <x:f>MAX(0,96-S13)</x:f>
        <x:v>12.75</x:v>
      </x:c>
      <x:c r="U13" s="11" t="n">
        <x:v>16</x:v>
      </x:c>
      <x:c r="V13" s="79" t="n">
        <x:v>200</x:v>
      </x:c>
      <x:c r="W13" s="10" t="inlineStr">
        <x:is>
          <x:t xml:space="preserve">Oct 16-31, 2025</x:t>
        </x:is>
      </x:c>
    </x:row>
    <x:row r="14" s="71" customFormat="1" ht="14.399999618530273" customHeight="1">
      <x:c r="A14" s="10" t="inlineStr">
        <x:is>
          <x:t xml:space="preserve">01100218</x:t>
        </x:is>
      </x:c>
      <x:c r="B14" s="10" t="inlineStr">
        <x:is>
          <x:t xml:space="preserve">Aquilyn Dayan A. Adlit</x:t>
        </x:is>
      </x:c>
      <x:c r="C14" s="11" t="n">
        <x:v>8</x:v>
      </x:c>
      <x:c r="D14" s="11" t="n">
        <x:v>8</x:v>
      </x:c>
      <x:c r="E14" s="11" t="n"/>
      <x:c r="F14" s="11" t="n"/>
      <x:c r="G14" s="11" t="n">
        <x:v>6</x:v>
      </x:c>
      <x:c r="H14" s="11" t="n">
        <x:v>8</x:v>
      </x:c>
      <x:c r="I14" s="11" t="n">
        <x:v>8</x:v>
      </x:c>
      <x:c r="J14" s="11" t="n">
        <x:v>8</x:v>
      </x:c>
      <x:c r="K14" s="11" t="n">
        <x:v>8</x:v>
      </x:c>
      <x:c r="L14" s="11" t="n"/>
      <x:c r="M14" s="11" t="n"/>
      <x:c r="N14" s="11" t="n">
        <x:v>8</x:v>
      </x:c>
      <x:c r="O14" s="11" t="n">
        <x:v>4</x:v>
      </x:c>
      <x:c r="P14" s="11" t="n">
        <x:v>8</x:v>
      </x:c>
      <x:c r="Q14" s="11" t="n">
        <x:v>7</x:v>
      </x:c>
      <x:c r="R14" s="12" t="n">
        <x:v>8</x:v>
      </x:c>
      <x:c r="S14" s="13">
        <x:f>SUM(C14:R14)</x:f>
        <x:v>89</x:v>
      </x:c>
      <x:c r="T14" s="11">
        <x:f>MAX(0,96-S14)</x:f>
        <x:v>7</x:v>
      </x:c>
      <x:c r="U14" s="11" t="n">
        <x:v>20</x:v>
      </x:c>
      <x:c r="V14" s="79" t="n">
        <x:v>0</x:v>
      </x:c>
      <x:c r="W14" s="10" t="inlineStr">
        <x:is>
          <x:t xml:space="preserve">Oct 16-31, 2025</x:t>
        </x:is>
      </x:c>
    </x:row>
    <x:row r="15" s="71" customFormat="1" ht="14.399999618530273" customHeight="1">
      <x:c r="A15" s="10" t="inlineStr">
        <x:is>
          <x:t xml:space="preserve">02100327</x:t>
        </x:is>
      </x:c>
      <x:c r="B15" s="10" t="inlineStr">
        <x:is>
          <x:t xml:space="preserve">Ardeth James Ortega</x:t>
        </x:is>
      </x:c>
      <x:c r="C15" s="11" t="n">
        <x:v>8</x:v>
      </x:c>
      <x:c r="D15" s="11" t="n">
        <x:v>8</x:v>
      </x:c>
      <x:c r="E15" s="11" t="n"/>
      <x:c r="F15" s="11" t="n"/>
      <x:c r="G15" s="11" t="n">
        <x:v>8</x:v>
      </x:c>
      <x:c r="H15" s="11" t="n">
        <x:v>7</x:v>
      </x:c>
      <x:c r="I15" s="11" t="n">
        <x:v>8</x:v>
      </x:c>
      <x:c r="J15" s="11" t="n">
        <x:v>8</x:v>
      </x:c>
      <x:c r="K15" s="11" t="n">
        <x:v>8</x:v>
      </x:c>
      <x:c r="L15" s="11" t="n"/>
      <x:c r="M15" s="11" t="n"/>
      <x:c r="N15" s="11" t="n">
        <x:v>8</x:v>
      </x:c>
      <x:c r="O15" s="11" t="n">
        <x:v>8</x:v>
      </x:c>
      <x:c r="P15" s="11" t="n">
        <x:v>7</x:v>
      </x:c>
      <x:c r="Q15" s="11" t="n">
        <x:v>8</x:v>
      </x:c>
      <x:c r="R15" s="12" t="n">
        <x:v>0</x:v>
      </x:c>
      <x:c r="S15" s="13">
        <x:f>SUM(C15:R15)</x:f>
        <x:v>86</x:v>
      </x:c>
      <x:c r="T15" s="11">
        <x:f>MAX(0,96-S15)</x:f>
        <x:v>10</x:v>
      </x:c>
      <x:c r="U15" s="11" t="n">
        <x:v>12</x:v>
      </x:c>
      <x:c r="V15" s="79" t="n">
        <x:v>0</x:v>
      </x:c>
      <x:c r="W15" s="10" t="inlineStr">
        <x:is>
          <x:t xml:space="preserve">Oct 16-31, 2025</x:t>
        </x:is>
      </x:c>
    </x:row>
    <x:row r="16" s="71" customFormat="1" ht="14.399999618530273" customHeight="1">
      <x:c r="A16" s="10" t="inlineStr">
        <x:is>
          <x:t xml:space="preserve">02100107</x:t>
        </x:is>
      </x:c>
      <x:c r="B16" s="10" t="inlineStr">
        <x:is>
          <x:t xml:space="preserve">Brenda Mae T. Bacurnay</x:t>
        </x:is>
      </x:c>
      <x:c r="C16" s="11" t="n">
        <x:v>8</x:v>
      </x:c>
      <x:c r="D16" s="11" t="n">
        <x:v>8</x:v>
      </x:c>
      <x:c r="E16" s="11" t="n"/>
      <x:c r="F16" s="11" t="n"/>
      <x:c r="G16" s="11" t="n">
        <x:v>7</x:v>
      </x:c>
      <x:c r="H16" s="11" t="n">
        <x:v>8</x:v>
      </x:c>
      <x:c r="I16" s="11" t="n">
        <x:v>8</x:v>
      </x:c>
      <x:c r="J16" s="11" t="n">
        <x:v>8</x:v>
      </x:c>
      <x:c r="K16" s="11" t="n">
        <x:v>8</x:v>
      </x:c>
      <x:c r="L16" s="11" t="n"/>
      <x:c r="M16" s="11" t="n"/>
      <x:c r="N16" s="11" t="n">
        <x:v>7.25</x:v>
      </x:c>
      <x:c r="O16" s="11" t="n">
        <x:v>8</x:v>
      </x:c>
      <x:c r="P16" s="11" t="n">
        <x:v>8</x:v>
      </x:c>
      <x:c r="Q16" s="11" t="n">
        <x:v>8</x:v>
      </x:c>
      <x:c r="R16" s="12" t="n">
        <x:v>6</x:v>
      </x:c>
      <x:c r="S16" s="13">
        <x:f>SUM(C16:R16)</x:f>
        <x:v>92.25</x:v>
      </x:c>
      <x:c r="T16" s="11">
        <x:f>MAX(0,96-S16)</x:f>
        <x:v>3.75</x:v>
      </x:c>
      <x:c r="U16" s="11" t="n">
        <x:v>24</x:v>
      </x:c>
      <x:c r="V16" s="79" t="n">
        <x:v>350</x:v>
      </x:c>
      <x:c r="W16" s="10" t="inlineStr">
        <x:is>
          <x:t xml:space="preserve">Oct 16-31, 2025</x:t>
        </x:is>
      </x:c>
    </x:row>
    <x:row r="17" s="71" customFormat="1" ht="14.399999618530273" customHeight="1">
      <x:c r="A17" s="10" t="inlineStr">
        <x:is>
          <x:t xml:space="preserve">01100271</x:t>
        </x:is>
      </x:c>
      <x:c r="B17" s="10" t="inlineStr">
        <x:is>
          <x:t xml:space="preserve">Buenagen Bagundol</x:t>
        </x:is>
      </x:c>
      <x:c r="C17" s="11" t="n">
        <x:v>8</x:v>
      </x:c>
      <x:c r="D17" s="11" t="n">
        <x:v>8</x:v>
      </x:c>
      <x:c r="E17" s="11" t="n"/>
      <x:c r="F17" s="11" t="n"/>
      <x:c r="G17" s="11" t="n">
        <x:v>8</x:v>
      </x:c>
      <x:c r="H17" s="11" t="n">
        <x:v>8</x:v>
      </x:c>
      <x:c r="I17" s="11" t="n">
        <x:v>8</x:v>
      </x:c>
      <x:c r="J17" s="11" t="n">
        <x:v>8</x:v>
      </x:c>
      <x:c r="K17" s="11" t="n">
        <x:v>7</x:v>
      </x:c>
      <x:c r="L17" s="11" t="n"/>
      <x:c r="M17" s="11" t="n"/>
      <x:c r="N17" s="11" t="n">
        <x:v>8</x:v>
      </x:c>
      <x:c r="O17" s="11" t="n">
        <x:v>8</x:v>
      </x:c>
      <x:c r="P17" s="11" t="n">
        <x:v>8</x:v>
      </x:c>
      <x:c r="Q17" s="11" t="n">
        <x:v>7.5</x:v>
      </x:c>
      <x:c r="R17" s="12" t="n">
        <x:v>8</x:v>
      </x:c>
      <x:c r="S17" s="13">
        <x:f>SUM(C17:R17)</x:f>
        <x:v>94.5</x:v>
      </x:c>
      <x:c r="T17" s="11">
        <x:f>MAX(0,96-S17)</x:f>
        <x:v>1.5</x:v>
      </x:c>
      <x:c r="U17" s="11" t="n">
        <x:v>4</x:v>
      </x:c>
      <x:c r="V17" s="79" t="n">
        <x:v>500</x:v>
      </x:c>
      <x:c r="W17" s="10" t="inlineStr">
        <x:is>
          <x:t xml:space="preserve">Oct 16-31, 2025</x:t>
        </x:is>
      </x:c>
    </x:row>
    <x:row r="18" s="71" customFormat="1" ht="14.399999618530273" customHeight="1">
      <x:c r="A18" s="10" t="inlineStr">
        <x:is>
          <x:t xml:space="preserve">01100108</x:t>
        </x:is>
      </x:c>
      <x:c r="B18" s="10" t="inlineStr">
        <x:is>
          <x:t xml:space="preserve">Camela Torrate</x:t>
        </x:is>
      </x:c>
      <x:c r="C18" s="11" t="n">
        <x:v>8</x:v>
      </x:c>
      <x:c r="D18" s="11" t="n">
        <x:v>6</x:v>
      </x:c>
      <x:c r="E18" s="11" t="n"/>
      <x:c r="F18" s="11" t="n"/>
      <x:c r="G18" s="11" t="n">
        <x:v>6</x:v>
      </x:c>
      <x:c r="H18" s="11" t="n">
        <x:v>8</x:v>
      </x:c>
      <x:c r="I18" s="11" t="n">
        <x:v>8</x:v>
      </x:c>
      <x:c r="J18" s="11" t="n">
        <x:v>8</x:v>
      </x:c>
      <x:c r="K18" s="11" t="n">
        <x:v>8</x:v>
      </x:c>
      <x:c r="L18" s="11" t="n"/>
      <x:c r="M18" s="11" t="n"/>
      <x:c r="N18" s="11" t="n">
        <x:v>8</x:v>
      </x:c>
      <x:c r="O18" s="11" t="n">
        <x:v>7.25</x:v>
      </x:c>
      <x:c r="P18" s="11" t="n">
        <x:v>8</x:v>
      </x:c>
      <x:c r="Q18" s="11" t="n">
        <x:v>8</x:v>
      </x:c>
      <x:c r="R18" s="12" t="n">
        <x:v>8</x:v>
      </x:c>
      <x:c r="S18" s="13">
        <x:f>SUM(C18:R18)</x:f>
        <x:v>91.25</x:v>
      </x:c>
      <x:c r="T18" s="11">
        <x:f>MAX(0,96-S18)</x:f>
        <x:v>4.75</x:v>
      </x:c>
      <x:c r="U18" s="11" t="n">
        <x:v>12</x:v>
      </x:c>
      <x:c r="V18" s="79" t="n">
        <x:v>0</x:v>
      </x:c>
      <x:c r="W18" s="10" t="inlineStr">
        <x:is>
          <x:t xml:space="preserve">Oct 16-31, 2025</x:t>
        </x:is>
      </x:c>
    </x:row>
    <x:row r="19" s="71" customFormat="1" ht="14.399999618530273" customHeight="1">
      <x:c r="A19" s="10" t="inlineStr">
        <x:is>
          <x:t xml:space="preserve">02100109</x:t>
        </x:is>
      </x:c>
      <x:c r="B19" s="10" t="inlineStr">
        <x:is>
          <x:t xml:space="preserve">Candice Kate Velasco</x:t>
        </x:is>
      </x:c>
      <x:c r="C19" s="11" t="n">
        <x:v>8</x:v>
      </x:c>
      <x:c r="D19" s="11" t="n">
        <x:v>8</x:v>
      </x:c>
      <x:c r="E19" s="11" t="n"/>
      <x:c r="F19" s="11" t="n"/>
      <x:c r="G19" s="11" t="n">
        <x:v>8</x:v>
      </x:c>
      <x:c r="H19" s="11" t="n">
        <x:v>8</x:v>
      </x:c>
      <x:c r="I19" s="11" t="n">
        <x:v>8</x:v>
      </x:c>
      <x:c r="J19" s="11" t="n">
        <x:v>6</x:v>
      </x:c>
      <x:c r="K19" s="11" t="n">
        <x:v>8</x:v>
      </x:c>
      <x:c r="L19" s="11" t="n"/>
      <x:c r="M19" s="11" t="n"/>
      <x:c r="N19" s="11" t="n">
        <x:v>8</x:v>
      </x:c>
      <x:c r="O19" s="11" t="n">
        <x:v>8</x:v>
      </x:c>
      <x:c r="P19" s="11" t="n">
        <x:v>8</x:v>
      </x:c>
      <x:c r="Q19" s="11" t="n">
        <x:v>8</x:v>
      </x:c>
      <x:c r="R19" s="12" t="n">
        <x:v>8</x:v>
      </x:c>
      <x:c r="S19" s="13">
        <x:f>SUM(C19:R19)</x:f>
        <x:v>94</x:v>
      </x:c>
      <x:c r="T19" s="11">
        <x:f>MAX(0,96-S19)</x:f>
        <x:v>2</x:v>
      </x:c>
      <x:c r="U19" s="11" t="n">
        <x:v>0</x:v>
      </x:c>
      <x:c r="V19" s="79" t="n">
        <x:v>0</x:v>
      </x:c>
      <x:c r="W19" s="10" t="inlineStr">
        <x:is>
          <x:t xml:space="preserve">Oct 16-31, 2025</x:t>
        </x:is>
      </x:c>
    </x:row>
    <x:row r="20" s="71" customFormat="1" ht="14.399999618530273" customHeight="1">
      <x:c r="A20" s="10" t="inlineStr">
        <x:is>
          <x:t xml:space="preserve">02100294</x:t>
        </x:is>
      </x:c>
      <x:c r="B20" s="10" t="inlineStr">
        <x:is>
          <x:t xml:space="preserve">Carlo John Rubio</x:t>
        </x:is>
      </x:c>
      <x:c r="C20" s="11" t="n">
        <x:v>8</x:v>
      </x:c>
      <x:c r="D20" s="11" t="n">
        <x:v>0</x:v>
      </x:c>
      <x:c r="E20" s="11" t="n"/>
      <x:c r="F20" s="11" t="n"/>
      <x:c r="G20" s="11" t="n">
        <x:v>8</x:v>
      </x:c>
      <x:c r="H20" s="11" t="n">
        <x:v>6</x:v>
      </x:c>
      <x:c r="I20" s="11" t="n">
        <x:v>7.5</x:v>
      </x:c>
      <x:c r="J20" s="11" t="n">
        <x:v>8</x:v>
      </x:c>
      <x:c r="K20" s="11" t="n">
        <x:v>8</x:v>
      </x:c>
      <x:c r="L20" s="11" t="n"/>
      <x:c r="M20" s="11" t="n">
        <x:v>8</x:v>
      </x:c>
      <x:c r="N20" s="11" t="n">
        <x:v>8</x:v>
      </x:c>
      <x:c r="O20" s="11" t="n">
        <x:v>8</x:v>
      </x:c>
      <x:c r="P20" s="11" t="n">
        <x:v>7.9</x:v>
      </x:c>
      <x:c r="Q20" s="11" t="n">
        <x:v>8</x:v>
      </x:c>
      <x:c r="R20" s="12" t="n">
        <x:v>8</x:v>
      </x:c>
      <x:c r="S20" s="13">
        <x:f>SUM(C20:R20)</x:f>
        <x:v>93.4</x:v>
      </x:c>
      <x:c r="T20" s="11">
        <x:f>MAX(0,96-S20)</x:f>
        <x:v>2.5999999999999943</x:v>
      </x:c>
      <x:c r="U20" s="11" t="n">
        <x:v>20</x:v>
      </x:c>
      <x:c r="V20" s="79" t="n">
        <x:v>0</x:v>
      </x:c>
      <x:c r="W20" s="10" t="inlineStr">
        <x:is>
          <x:t xml:space="preserve">Oct 16-31, 2025</x:t>
        </x:is>
      </x:c>
    </x:row>
    <x:row r="21" s="71" customFormat="1" ht="14.399999618530273" customHeight="1">
      <x:c r="A21" s="10" t="inlineStr">
        <x:is>
          <x:t xml:space="preserve">01100270</x:t>
        </x:is>
      </x:c>
      <x:c r="B21" s="10" t="inlineStr">
        <x:is>
          <x:t xml:space="preserve">Catherine Vergara</x:t>
        </x:is>
      </x:c>
      <x:c r="C21" s="11" t="n">
        <x:v>8</x:v>
      </x:c>
      <x:c r="D21" s="11" t="n">
        <x:v>4</x:v>
      </x:c>
      <x:c r="E21" s="11" t="n"/>
      <x:c r="F21" s="11" t="n"/>
      <x:c r="G21" s="11" t="n">
        <x:v>8</x:v>
      </x:c>
      <x:c r="H21" s="11" t="n">
        <x:v>8</x:v>
      </x:c>
      <x:c r="I21" s="11" t="n">
        <x:v>8</x:v>
      </x:c>
      <x:c r="J21" s="11" t="n">
        <x:v>8</x:v>
      </x:c>
      <x:c r="K21" s="11" t="n">
        <x:v>7.25</x:v>
      </x:c>
      <x:c r="L21" s="11" t="n"/>
      <x:c r="M21" s="11" t="n"/>
      <x:c r="N21" s="11" t="n">
        <x:v>0</x:v>
      </x:c>
      <x:c r="O21" s="11" t="n">
        <x:v>8</x:v>
      </x:c>
      <x:c r="P21" s="11" t="n">
        <x:v>6</x:v>
      </x:c>
      <x:c r="Q21" s="11" t="n">
        <x:v>8</x:v>
      </x:c>
      <x:c r="R21" s="12" t="n">
        <x:v>8</x:v>
      </x:c>
      <x:c r="S21" s="13">
        <x:f>SUM(C21:R21)</x:f>
        <x:v>81.25</x:v>
      </x:c>
      <x:c r="T21" s="11">
        <x:f>MAX(0,96-S21)</x:f>
        <x:v>14.75</x:v>
      </x:c>
      <x:c r="U21" s="11" t="n">
        <x:v>12</x:v>
      </x:c>
      <x:c r="V21" s="79" t="n">
        <x:v>0</x:v>
      </x:c>
      <x:c r="W21" s="10" t="inlineStr">
        <x:is>
          <x:t xml:space="preserve">Oct 16-31, 2025</x:t>
        </x:is>
      </x:c>
    </x:row>
    <x:row r="22" s="71" customFormat="1" ht="14.399999618530273" customHeight="1">
      <x:c r="A22" s="10" t="inlineStr">
        <x:is>
          <x:t xml:space="preserve">01100220</x:t>
        </x:is>
      </x:c>
      <x:c r="B22" s="10" t="inlineStr">
        <x:is>
          <x:t xml:space="preserve">Christian Pagobo</x:t>
        </x:is>
      </x:c>
      <x:c r="C22" s="11" t="n">
        <x:v>8</x:v>
      </x:c>
      <x:c r="D22" s="11" t="n">
        <x:v>8</x:v>
      </x:c>
      <x:c r="E22" s="11" t="n"/>
      <x:c r="F22" s="11" t="n"/>
      <x:c r="G22" s="11" t="n">
        <x:v>8</x:v>
      </x:c>
      <x:c r="H22" s="11" t="n">
        <x:v>8</x:v>
      </x:c>
      <x:c r="I22" s="11" t="n">
        <x:v>7.9</x:v>
      </x:c>
      <x:c r="J22" s="11" t="n">
        <x:v>8</x:v>
      </x:c>
      <x:c r="K22" s="11" t="n">
        <x:v>0</x:v>
      </x:c>
      <x:c r="L22" s="11" t="n"/>
      <x:c r="M22" s="11" t="n"/>
      <x:c r="N22" s="11" t="n">
        <x:v>8</x:v>
      </x:c>
      <x:c r="O22" s="11" t="n">
        <x:v>8</x:v>
      </x:c>
      <x:c r="P22" s="11" t="n">
        <x:v>7.75</x:v>
      </x:c>
      <x:c r="Q22" s="11" t="n">
        <x:v>8</x:v>
      </x:c>
      <x:c r="R22" s="12" t="n">
        <x:v>0</x:v>
      </x:c>
      <x:c r="S22" s="13">
        <x:f>SUM(C22:R22)</x:f>
        <x:v>79.65</x:v>
      </x:c>
      <x:c r="T22" s="11">
        <x:f>MAX(0,96-S22)</x:f>
        <x:v>16.349999999999994</x:v>
      </x:c>
      <x:c r="U22" s="11" t="n">
        <x:v>8</x:v>
      </x:c>
      <x:c r="V22" s="79" t="n">
        <x:v>750</x:v>
      </x:c>
      <x:c r="W22" s="10" t="inlineStr">
        <x:is>
          <x:t xml:space="preserve">Oct 16-31, 2025</x:t>
        </x:is>
      </x:c>
    </x:row>
    <x:row r="23" s="71" customFormat="1" ht="14.399999618530273" customHeight="1">
      <x:c r="A23" s="10" t="inlineStr">
        <x:is>
          <x:t xml:space="preserve">01100112</x:t>
        </x:is>
      </x:c>
      <x:c r="B23" s="10" t="inlineStr">
        <x:is>
          <x:t xml:space="preserve">Crislyn Cuizon</x:t>
        </x:is>
      </x:c>
      <x:c r="C23" s="11" t="n">
        <x:v>8</x:v>
      </x:c>
      <x:c r="D23" s="11" t="n">
        <x:v>8</x:v>
      </x:c>
      <x:c r="E23" s="11" t="n"/>
      <x:c r="F23" s="11" t="n"/>
      <x:c r="G23" s="11" t="n">
        <x:v>8</x:v>
      </x:c>
      <x:c r="H23" s="11" t="n">
        <x:v>8</x:v>
      </x:c>
      <x:c r="I23" s="11" t="n">
        <x:v>8</x:v>
      </x:c>
      <x:c r="J23" s="11" t="n">
        <x:v>8</x:v>
      </x:c>
      <x:c r="K23" s="11" t="n">
        <x:v>8</x:v>
      </x:c>
      <x:c r="L23" s="11" t="n"/>
      <x:c r="M23" s="11" t="n"/>
      <x:c r="N23" s="11" t="n">
        <x:v>8</x:v>
      </x:c>
      <x:c r="O23" s="11" t="n">
        <x:v>8</x:v>
      </x:c>
      <x:c r="P23" s="11" t="n">
        <x:v>6</x:v>
      </x:c>
      <x:c r="Q23" s="11" t="n">
        <x:v>8</x:v>
      </x:c>
      <x:c r="R23" s="12" t="n">
        <x:v>8</x:v>
      </x:c>
      <x:c r="S23" s="13">
        <x:f>SUM(C23:R23)</x:f>
        <x:v>94</x:v>
      </x:c>
      <x:c r="T23" s="11">
        <x:f>MAX(0,96-S23)</x:f>
        <x:v>2</x:v>
      </x:c>
      <x:c r="U23" s="11" t="n">
        <x:v>4</x:v>
      </x:c>
      <x:c r="V23" s="79" t="n">
        <x:v>0</x:v>
      </x:c>
      <x:c r="W23" s="10" t="inlineStr">
        <x:is>
          <x:t xml:space="preserve">Oct 16-31, 2025</x:t>
        </x:is>
      </x:c>
    </x:row>
    <x:row r="24" s="71" customFormat="1" ht="14.399999618530273" customHeight="1">
      <x:c r="A24" s="10" t="inlineStr">
        <x:is>
          <x:t xml:space="preserve">01100329</x:t>
        </x:is>
      </x:c>
      <x:c r="B24" s="10" t="inlineStr">
        <x:is>
          <x:t xml:space="preserve">Cyriline Vergara</x:t>
        </x:is>
      </x:c>
      <x:c r="C24" s="11" t="n">
        <x:v>8</x:v>
      </x:c>
      <x:c r="D24" s="11" t="n">
        <x:v>0</x:v>
      </x:c>
      <x:c r="E24" s="11" t="n">
        <x:v>8</x:v>
      </x:c>
      <x:c r="F24" s="11" t="n"/>
      <x:c r="G24" s="11" t="n">
        <x:v>8</x:v>
      </x:c>
      <x:c r="H24" s="11" t="n">
        <x:v>8</x:v>
      </x:c>
      <x:c r="I24" s="11" t="n">
        <x:v>8</x:v>
      </x:c>
      <x:c r="J24" s="11" t="n">
        <x:v>8</x:v>
      </x:c>
      <x:c r="K24" s="11" t="n">
        <x:v>8</x:v>
      </x:c>
      <x:c r="L24" s="11" t="n"/>
      <x:c r="M24" s="11" t="n"/>
      <x:c r="N24" s="11" t="n">
        <x:v>8</x:v>
      </x:c>
      <x:c r="O24" s="11" t="n">
        <x:v>8</x:v>
      </x:c>
      <x:c r="P24" s="11" t="n">
        <x:v>8</x:v>
      </x:c>
      <x:c r="Q24" s="11" t="n">
        <x:v>8</x:v>
      </x:c>
      <x:c r="R24" s="12" t="n">
        <x:v>0</x:v>
      </x:c>
      <x:c r="S24" s="13">
        <x:f>SUM(C24:R24)</x:f>
        <x:v>88</x:v>
      </x:c>
      <x:c r="T24" s="11">
        <x:f>MAX(0,96-S24)</x:f>
        <x:v>8</x:v>
      </x:c>
      <x:c r="U24" s="11" t="n">
        <x:v>4</x:v>
      </x:c>
      <x:c r="V24" s="79" t="n">
        <x:v>0</x:v>
      </x:c>
      <x:c r="W24" s="10" t="inlineStr">
        <x:is>
          <x:t xml:space="preserve">Oct 16-31, 2025</x:t>
        </x:is>
      </x:c>
    </x:row>
    <x:row r="25" s="71" customFormat="1" ht="14.399999618530273" customHeight="1">
      <x:c r="A25" s="10" t="inlineStr">
        <x:is>
          <x:t xml:space="preserve">01100113</x:t>
        </x:is>
      </x:c>
      <x:c r="B25" s="10" t="inlineStr">
        <x:is>
          <x:t xml:space="preserve">Demie Marie Medalle</x:t>
        </x:is>
      </x:c>
      <x:c r="C25" s="11" t="n">
        <x:v>8</x:v>
      </x:c>
      <x:c r="D25" s="11" t="n">
        <x:v>6</x:v>
      </x:c>
      <x:c r="E25" s="11" t="n"/>
      <x:c r="F25" s="11" t="n"/>
      <x:c r="G25" s="11" t="n">
        <x:v>8</x:v>
      </x:c>
      <x:c r="H25" s="11" t="n">
        <x:v>0</x:v>
      </x:c>
      <x:c r="I25" s="11" t="n">
        <x:v>8</x:v>
      </x:c>
      <x:c r="J25" s="11" t="n">
        <x:v>8</x:v>
      </x:c>
      <x:c r="K25" s="11" t="n">
        <x:v>8</x:v>
      </x:c>
      <x:c r="L25" s="11" t="n"/>
      <x:c r="M25" s="11" t="n"/>
      <x:c r="N25" s="11" t="n">
        <x:v>8</x:v>
      </x:c>
      <x:c r="O25" s="11" t="n">
        <x:v>7.5</x:v>
      </x:c>
      <x:c r="P25" s="11" t="n">
        <x:v>8</x:v>
      </x:c>
      <x:c r="Q25" s="11" t="n">
        <x:v>8</x:v>
      </x:c>
      <x:c r="R25" s="12" t="n">
        <x:v>8</x:v>
      </x:c>
      <x:c r="S25" s="13">
        <x:f>SUM(C25:R25)</x:f>
        <x:v>85.5</x:v>
      </x:c>
      <x:c r="T25" s="11">
        <x:f>MAX(0,96-S25)</x:f>
        <x:v>10.5</x:v>
      </x:c>
      <x:c r="U25" s="11" t="n">
        <x:v>0</x:v>
      </x:c>
      <x:c r="V25" s="79" t="n">
        <x:v>500</x:v>
      </x:c>
      <x:c r="W25" s="10" t="inlineStr">
        <x:is>
          <x:t xml:space="preserve">Oct 16-31, 2025</x:t>
        </x:is>
      </x:c>
    </x:row>
    <x:row r="26" s="71" customFormat="1" ht="14.399999618530273" customHeight="1">
      <x:c r="A26" s="10" t="inlineStr">
        <x:is>
          <x:t xml:space="preserve">01100115</x:t>
        </x:is>
      </x:c>
      <x:c r="B26" s="10" t="inlineStr">
        <x:is>
          <x:t xml:space="preserve">Dharlene G. Bendanillo</x:t>
        </x:is>
      </x:c>
      <x:c r="C26" s="11" t="n">
        <x:v>7.25</x:v>
      </x:c>
      <x:c r="D26" s="11" t="n">
        <x:v>6</x:v>
      </x:c>
      <x:c r="E26" s="11" t="n"/>
      <x:c r="F26" s="11" t="n"/>
      <x:c r="G26" s="11" t="n">
        <x:v>8</x:v>
      </x:c>
      <x:c r="H26" s="11" t="n">
        <x:v>8</x:v>
      </x:c>
      <x:c r="I26" s="11" t="n">
        <x:v>6</x:v>
      </x:c>
      <x:c r="J26" s="11" t="n">
        <x:v>8</x:v>
      </x:c>
      <x:c r="K26" s="11" t="n">
        <x:v>0</x:v>
      </x:c>
      <x:c r="L26" s="11" t="n"/>
      <x:c r="M26" s="11" t="n"/>
      <x:c r="N26" s="11" t="n">
        <x:v>8</x:v>
      </x:c>
      <x:c r="O26" s="11" t="n">
        <x:v>7.25</x:v>
      </x:c>
      <x:c r="P26" s="11" t="n">
        <x:v>8</x:v>
      </x:c>
      <x:c r="Q26" s="11" t="n">
        <x:v>8</x:v>
      </x:c>
      <x:c r="R26" s="12" t="n">
        <x:v>6</x:v>
      </x:c>
      <x:c r="S26" s="13">
        <x:f>SUM(C26:R26)</x:f>
        <x:v>80.5</x:v>
      </x:c>
      <x:c r="T26" s="11">
        <x:f>MAX(0,96-S26)</x:f>
        <x:v>15.5</x:v>
      </x:c>
      <x:c r="U26" s="11" t="n">
        <x:v>0</x:v>
      </x:c>
      <x:c r="V26" s="79" t="n">
        <x:v>0</x:v>
      </x:c>
      <x:c r="W26" s="10" t="inlineStr">
        <x:is>
          <x:t xml:space="preserve">Oct 16-31, 2025</x:t>
        </x:is>
      </x:c>
    </x:row>
    <x:row r="27" s="71" customFormat="1" ht="14.399999618530273" customHeight="1">
      <x:c r="A27" s="10" t="inlineStr">
        <x:is>
          <x:t xml:space="preserve">01100116</x:t>
        </x:is>
      </x:c>
      <x:c r="B27" s="10" t="inlineStr">
        <x:is>
          <x:t xml:space="preserve">Donald Bacanaya</x:t>
        </x:is>
      </x:c>
      <x:c r="C27" s="11" t="n">
        <x:v>8</x:v>
      </x:c>
      <x:c r="D27" s="11" t="n">
        <x:v>8</x:v>
      </x:c>
      <x:c r="E27" s="11" t="n"/>
      <x:c r="F27" s="11" t="n"/>
      <x:c r="G27" s="11" t="n">
        <x:v>7</x:v>
      </x:c>
      <x:c r="H27" s="11" t="n">
        <x:v>0</x:v>
      </x:c>
      <x:c r="I27" s="11" t="n">
        <x:v>8</x:v>
      </x:c>
      <x:c r="J27" s="11" t="n">
        <x:v>8</x:v>
      </x:c>
      <x:c r="K27" s="11" t="n">
        <x:v>8</x:v>
      </x:c>
      <x:c r="L27" s="11" t="n"/>
      <x:c r="M27" s="11" t="n"/>
      <x:c r="N27" s="11" t="n">
        <x:v>7.75</x:v>
      </x:c>
      <x:c r="O27" s="11" t="n">
        <x:v>8</x:v>
      </x:c>
      <x:c r="P27" s="11" t="n">
        <x:v>8</x:v>
      </x:c>
      <x:c r="Q27" s="11" t="n">
        <x:v>8</x:v>
      </x:c>
      <x:c r="R27" s="12" t="n">
        <x:v>6</x:v>
      </x:c>
      <x:c r="S27" s="13">
        <x:f>SUM(C27:R27)</x:f>
        <x:v>84.75</x:v>
      </x:c>
      <x:c r="T27" s="11">
        <x:f>MAX(0,96-S27)</x:f>
        <x:v>11.25</x:v>
      </x:c>
      <x:c r="U27" s="11" t="n">
        <x:v>16</x:v>
      </x:c>
      <x:c r="V27" s="79" t="n">
        <x:v>0</x:v>
      </x:c>
      <x:c r="W27" s="10" t="inlineStr">
        <x:is>
          <x:t xml:space="preserve">Oct 16-31, 2025</x:t>
        </x:is>
      </x:c>
    </x:row>
    <x:row r="28" s="71" customFormat="1" ht="14.399999618530273" customHeight="1">
      <x:c r="A28" s="10" t="inlineStr">
        <x:is>
          <x:t xml:space="preserve">01100253</x:t>
        </x:is>
      </x:c>
      <x:c r="B28" s="10" t="inlineStr">
        <x:is>
          <x:t xml:space="preserve">Ericka Dorreen Amores - Abejero</x:t>
        </x:is>
      </x:c>
      <x:c r="C28" s="11" t="n">
        <x:v>8</x:v>
      </x:c>
      <x:c r="D28" s="11" t="n">
        <x:v>8</x:v>
      </x:c>
      <x:c r="E28" s="11" t="n"/>
      <x:c r="F28" s="11" t="n"/>
      <x:c r="G28" s="11" t="n">
        <x:v>7.9</x:v>
      </x:c>
      <x:c r="H28" s="11" t="n">
        <x:v>8</x:v>
      </x:c>
      <x:c r="I28" s="11" t="n">
        <x:v>8</x:v>
      </x:c>
      <x:c r="J28" s="11" t="n">
        <x:v>8</x:v>
      </x:c>
      <x:c r="K28" s="11" t="n">
        <x:v>7.75</x:v>
      </x:c>
      <x:c r="L28" s="11" t="n"/>
      <x:c r="M28" s="11" t="n"/>
      <x:c r="N28" s="11" t="n">
        <x:v>8</x:v>
      </x:c>
      <x:c r="O28" s="11" t="n">
        <x:v>0</x:v>
      </x:c>
      <x:c r="P28" s="11" t="n">
        <x:v>6</x:v>
      </x:c>
      <x:c r="Q28" s="11" t="n">
        <x:v>8</x:v>
      </x:c>
      <x:c r="R28" s="12" t="n">
        <x:v>4</x:v>
      </x:c>
      <x:c r="S28" s="13">
        <x:f>SUM(C28:R28)</x:f>
        <x:v>81.65</x:v>
      </x:c>
      <x:c r="T28" s="11">
        <x:f>MAX(0,96-S28)</x:f>
        <x:v>14.349999999999994</x:v>
      </x:c>
      <x:c r="U28" s="11" t="n">
        <x:v>8</x:v>
      </x:c>
      <x:c r="V28" s="79" t="n">
        <x:v>0</x:v>
      </x:c>
      <x:c r="W28" s="10" t="inlineStr">
        <x:is>
          <x:t xml:space="preserve">Oct 16-31, 2025</x:t>
        </x:is>
      </x:c>
    </x:row>
    <x:row r="29" s="71" customFormat="1" ht="14.399999618530273" customHeight="1">
      <x:c r="A29" s="10" t="inlineStr">
        <x:is>
          <x:t xml:space="preserve">02100117</x:t>
        </x:is>
      </x:c>
      <x:c r="B29" s="10" t="inlineStr">
        <x:is>
          <x:t xml:space="preserve">Ernesto F. Roquin Jr.</x:t>
        </x:is>
      </x:c>
      <x:c r="C29" s="11" t="n">
        <x:v>8</x:v>
      </x:c>
      <x:c r="D29" s="11" t="n">
        <x:v>6</x:v>
      </x:c>
      <x:c r="E29" s="11" t="n"/>
      <x:c r="F29" s="11" t="n"/>
      <x:c r="G29" s="11" t="n">
        <x:v>8</x:v>
      </x:c>
      <x:c r="H29" s="11" t="n">
        <x:v>8</x:v>
      </x:c>
      <x:c r="I29" s="11" t="n">
        <x:v>7.25</x:v>
      </x:c>
      <x:c r="J29" s="11" t="n">
        <x:v>8</x:v>
      </x:c>
      <x:c r="K29" s="11" t="n">
        <x:v>7.25</x:v>
      </x:c>
      <x:c r="L29" s="11" t="n"/>
      <x:c r="M29" s="11" t="n"/>
      <x:c r="N29" s="11" t="n">
        <x:v>8</x:v>
      </x:c>
      <x:c r="O29" s="11" t="n">
        <x:v>8</x:v>
      </x:c>
      <x:c r="P29" s="11" t="n">
        <x:v>8</x:v>
      </x:c>
      <x:c r="Q29" s="11" t="n">
        <x:v>8</x:v>
      </x:c>
      <x:c r="R29" s="12" t="n">
        <x:v>8</x:v>
      </x:c>
      <x:c r="S29" s="13">
        <x:f>SUM(C29:R29)</x:f>
        <x:v>92.5</x:v>
      </x:c>
      <x:c r="T29" s="11">
        <x:f>MAX(0,96-S29)</x:f>
        <x:v>3.5</x:v>
      </x:c>
      <x:c r="U29" s="11" t="n">
        <x:v>0</x:v>
      </x:c>
      <x:c r="V29" s="79" t="n">
        <x:v>0</x:v>
      </x:c>
      <x:c r="W29" s="10" t="inlineStr">
        <x:is>
          <x:t xml:space="preserve">Oct 16-31, 2025</x:t>
        </x:is>
      </x:c>
    </x:row>
    <x:row r="30" s="71" customFormat="1" ht="14.399999618530273" customHeight="1">
      <x:c r="A30" s="10" t="inlineStr">
        <x:is>
          <x:t xml:space="preserve">01100118</x:t>
        </x:is>
      </x:c>
      <x:c r="B30" s="10" t="inlineStr">
        <x:is>
          <x:t xml:space="preserve">Fame Diez</x:t>
        </x:is>
      </x:c>
      <x:c r="C30" s="11" t="n">
        <x:v>8</x:v>
      </x:c>
      <x:c r="D30" s="11" t="n">
        <x:v>6</x:v>
      </x:c>
      <x:c r="E30" s="11" t="n"/>
      <x:c r="F30" s="11" t="n"/>
      <x:c r="G30" s="11" t="n">
        <x:v>8</x:v>
      </x:c>
      <x:c r="H30" s="11" t="n">
        <x:v>8</x:v>
      </x:c>
      <x:c r="I30" s="11" t="n">
        <x:v>7.9</x:v>
      </x:c>
      <x:c r="J30" s="11" t="n">
        <x:v>8</x:v>
      </x:c>
      <x:c r="K30" s="11" t="n">
        <x:v>8</x:v>
      </x:c>
      <x:c r="L30" s="11" t="n">
        <x:v>8</x:v>
      </x:c>
      <x:c r="M30" s="11" t="n"/>
      <x:c r="N30" s="11" t="n">
        <x:v>8</x:v>
      </x:c>
      <x:c r="O30" s="11" t="n">
        <x:v>6</x:v>
      </x:c>
      <x:c r="P30" s="11" t="n">
        <x:v>8</x:v>
      </x:c>
      <x:c r="Q30" s="11" t="n">
        <x:v>8</x:v>
      </x:c>
      <x:c r="R30" s="12" t="n">
        <x:v>8</x:v>
      </x:c>
      <x:c r="S30" s="13">
        <x:f>SUM(C30:R30)</x:f>
        <x:v>99.9</x:v>
      </x:c>
      <x:c r="T30" s="11">
        <x:f>MAX(0,96-S30)</x:f>
        <x:v>0</x:v>
      </x:c>
      <x:c r="U30" s="11" t="n">
        <x:v>0</x:v>
      </x:c>
      <x:c r="V30" s="79" t="n">
        <x:v>0</x:v>
      </x:c>
      <x:c r="W30" s="10" t="inlineStr">
        <x:is>
          <x:t xml:space="preserve">Oct 16-31, 2025</x:t>
        </x:is>
      </x:c>
    </x:row>
    <x:row r="31" s="71" customFormat="1" ht="14.399999618530273" customHeight="1">
      <x:c r="A31" s="10" t="inlineStr">
        <x:is>
          <x:t xml:space="preserve">01100221</x:t>
        </x:is>
      </x:c>
      <x:c r="B31" s="10" t="inlineStr">
        <x:is>
          <x:t xml:space="preserve">Farrah Jean Vildosola</x:t>
        </x:is>
      </x:c>
      <x:c r="C31" s="11" t="n">
        <x:v>8</x:v>
      </x:c>
      <x:c r="D31" s="11" t="n">
        <x:v>8</x:v>
      </x:c>
      <x:c r="E31" s="11" t="n"/>
      <x:c r="F31" s="11" t="n"/>
      <x:c r="G31" s="11" t="n">
        <x:v>8</x:v>
      </x:c>
      <x:c r="H31" s="11" t="n">
        <x:v>8</x:v>
      </x:c>
      <x:c r="I31" s="11" t="n">
        <x:v>8</x:v>
      </x:c>
      <x:c r="J31" s="11" t="n">
        <x:v>0</x:v>
      </x:c>
      <x:c r="K31" s="11" t="n">
        <x:v>8</x:v>
      </x:c>
      <x:c r="L31" s="11" t="n"/>
      <x:c r="M31" s="11" t="n"/>
      <x:c r="N31" s="11" t="n">
        <x:v>7.5</x:v>
      </x:c>
      <x:c r="O31" s="11" t="n">
        <x:v>8</x:v>
      </x:c>
      <x:c r="P31" s="11" t="n">
        <x:v>8</x:v>
      </x:c>
      <x:c r="Q31" s="11" t="n">
        <x:v>8</x:v>
      </x:c>
      <x:c r="R31" s="12" t="n">
        <x:v>6</x:v>
      </x:c>
      <x:c r="S31" s="13">
        <x:f>SUM(C31:R31)</x:f>
        <x:v>85.5</x:v>
      </x:c>
      <x:c r="T31" s="11">
        <x:f>MAX(0,96-S31)</x:f>
        <x:v>10.5</x:v>
      </x:c>
      <x:c r="U31" s="11" t="n">
        <x:v>20</x:v>
      </x:c>
      <x:c r="V31" s="79" t="n">
        <x:v>1200</x:v>
      </x:c>
      <x:c r="W31" s="10" t="inlineStr">
        <x:is>
          <x:t xml:space="preserve">Oct 16-31, 2025</x:t>
        </x:is>
      </x:c>
    </x:row>
    <x:row r="32" s="71" customFormat="1" ht="14.399999618530273" customHeight="1">
      <x:c r="A32" s="10" t="inlineStr">
        <x:is>
          <x:t xml:space="preserve">02100119</x:t>
        </x:is>
      </x:c>
      <x:c r="B32" s="10" t="inlineStr">
        <x:is>
          <x:t xml:space="preserve">Ferreh Jane Vilos</x:t>
        </x:is>
      </x:c>
      <x:c r="C32" s="11" t="n">
        <x:v>8</x:v>
      </x:c>
      <x:c r="D32" s="11" t="n">
        <x:v>8</x:v>
      </x:c>
      <x:c r="E32" s="11" t="n"/>
      <x:c r="F32" s="11" t="n"/>
      <x:c r="G32" s="11" t="n">
        <x:v>8</x:v>
      </x:c>
      <x:c r="H32" s="11" t="n">
        <x:v>0</x:v>
      </x:c>
      <x:c r="I32" s="11" t="n">
        <x:v>8</x:v>
      </x:c>
      <x:c r="J32" s="11" t="n">
        <x:v>8</x:v>
      </x:c>
      <x:c r="K32" s="11" t="n">
        <x:v>7.5</x:v>
      </x:c>
      <x:c r="L32" s="11" t="n"/>
      <x:c r="M32" s="11" t="n"/>
      <x:c r="N32" s="11" t="n">
        <x:v>8</x:v>
      </x:c>
      <x:c r="O32" s="11" t="n">
        <x:v>8</x:v>
      </x:c>
      <x:c r="P32" s="11" t="n">
        <x:v>8</x:v>
      </x:c>
      <x:c r="Q32" s="11" t="n">
        <x:v>8</x:v>
      </x:c>
      <x:c r="R32" s="12" t="n">
        <x:v>4</x:v>
      </x:c>
      <x:c r="S32" s="13">
        <x:f>SUM(C32:R32)</x:f>
        <x:v>83.5</x:v>
      </x:c>
      <x:c r="T32" s="11">
        <x:f>MAX(0,96-S32)</x:f>
        <x:v>12.5</x:v>
      </x:c>
      <x:c r="U32" s="11" t="n">
        <x:v>4</x:v>
      </x:c>
      <x:c r="V32" s="79" t="n">
        <x:v>0</x:v>
      </x:c>
      <x:c r="W32" s="10" t="inlineStr">
        <x:is>
          <x:t xml:space="preserve">Oct 16-31, 2025</x:t>
        </x:is>
      </x:c>
    </x:row>
    <x:row r="33" s="71" customFormat="1" ht="14.399999618530273" customHeight="1">
      <x:c r="A33" s="10" t="inlineStr">
        <x:is>
          <x:t xml:space="preserve">02100120</x:t>
        </x:is>
      </x:c>
      <x:c r="B33" s="10" t="inlineStr">
        <x:is>
          <x:t xml:space="preserve">Flint Kaynon Balmadres</x:t>
        </x:is>
      </x:c>
      <x:c r="C33" s="11" t="n">
        <x:v>8</x:v>
      </x:c>
      <x:c r="D33" s="11" t="n">
        <x:v>0</x:v>
      </x:c>
      <x:c r="E33" s="11" t="n"/>
      <x:c r="F33" s="11" t="n"/>
      <x:c r="G33" s="11" t="n">
        <x:v>8</x:v>
      </x:c>
      <x:c r="H33" s="11" t="n">
        <x:v>8</x:v>
      </x:c>
      <x:c r="I33" s="11" t="n">
        <x:v>8</x:v>
      </x:c>
      <x:c r="J33" s="11" t="n">
        <x:v>8</x:v>
      </x:c>
      <x:c r="K33" s="11" t="n">
        <x:v>0</x:v>
      </x:c>
      <x:c r="L33" s="11" t="n"/>
      <x:c r="M33" s="11" t="n"/>
      <x:c r="N33" s="11" t="n">
        <x:v>8</x:v>
      </x:c>
      <x:c r="O33" s="11" t="n">
        <x:v>8</x:v>
      </x:c>
      <x:c r="P33" s="11" t="n">
        <x:v>8</x:v>
      </x:c>
      <x:c r="Q33" s="11" t="n">
        <x:v>7.75</x:v>
      </x:c>
      <x:c r="R33" s="12" t="n">
        <x:v>0</x:v>
      </x:c>
      <x:c r="S33" s="13">
        <x:f>SUM(C33:R33)</x:f>
        <x:v>71.75</x:v>
      </x:c>
      <x:c r="T33" s="11">
        <x:f>MAX(0,96-S33)</x:f>
        <x:v>24.25</x:v>
      </x:c>
      <x:c r="U33" s="11" t="n">
        <x:v>0</x:v>
      </x:c>
      <x:c r="V33" s="79" t="n">
        <x:v>0</x:v>
      </x:c>
      <x:c r="W33" s="10" t="inlineStr">
        <x:is>
          <x:t xml:space="preserve">Oct 16-31, 2025</x:t>
        </x:is>
      </x:c>
    </x:row>
    <x:row r="34" s="71" customFormat="1" ht="14.399999618530273" customHeight="1">
      <x:c r="A34" s="10" t="inlineStr">
        <x:is>
          <x:t xml:space="preserve">01100217</x:t>
        </x:is>
      </x:c>
      <x:c r="B34" s="10" t="inlineStr">
        <x:is>
          <x:t xml:space="preserve">Franklyn Jay Talisic</x:t>
        </x:is>
      </x:c>
      <x:c r="C34" s="11" t="n">
        <x:v>8</x:v>
      </x:c>
      <x:c r="D34" s="11" t="n">
        <x:v>8</x:v>
      </x:c>
      <x:c r="E34" s="11" t="n"/>
      <x:c r="F34" s="11" t="n"/>
      <x:c r="G34" s="11" t="n">
        <x:v>8</x:v>
      </x:c>
      <x:c r="H34" s="11" t="n">
        <x:v>7.5</x:v>
      </x:c>
      <x:c r="I34" s="11" t="n">
        <x:v>8</x:v>
      </x:c>
      <x:c r="J34" s="11" t="n">
        <x:v>8</x:v>
      </x:c>
      <x:c r="K34" s="11" t="n">
        <x:v>7.9</x:v>
      </x:c>
      <x:c r="L34" s="11" t="n"/>
      <x:c r="M34" s="11" t="n"/>
      <x:c r="N34" s="11" t="n">
        <x:v>8</x:v>
      </x:c>
      <x:c r="O34" s="11" t="n">
        <x:v>8</x:v>
      </x:c>
      <x:c r="P34" s="11" t="n">
        <x:v>8</x:v>
      </x:c>
      <x:c r="Q34" s="11" t="n">
        <x:v>8</x:v>
      </x:c>
      <x:c r="R34" s="12" t="n">
        <x:v>8</x:v>
      </x:c>
      <x:c r="S34" s="13">
        <x:f>SUM(C34:R34)</x:f>
        <x:v>95.4</x:v>
      </x:c>
      <x:c r="T34" s="11">
        <x:f>MAX(0,96-S34)</x:f>
        <x:v>0.5999999999999943</x:v>
      </x:c>
      <x:c r="U34" s="11" t="n">
        <x:v>0</x:v>
      </x:c>
      <x:c r="V34" s="79" t="n">
        <x:v>200</x:v>
      </x:c>
      <x:c r="W34" s="10" t="inlineStr">
        <x:is>
          <x:t xml:space="preserve">Oct 16-31, 2025</x:t>
        </x:is>
      </x:c>
    </x:row>
    <x:row r="35" s="71" customFormat="1" ht="14.399999618530273" customHeight="1">
      <x:c r="A35" s="10" t="inlineStr">
        <x:is>
          <x:t xml:space="preserve">02100121</x:t>
        </x:is>
      </x:c>
      <x:c r="B35" s="10" t="inlineStr">
        <x:is>
          <x:t xml:space="preserve">Fritzyl D. Lorico</x:t>
        </x:is>
      </x:c>
      <x:c r="C35" s="11" t="n">
        <x:v>8</x:v>
      </x:c>
      <x:c r="D35" s="11" t="n">
        <x:v>6</x:v>
      </x:c>
      <x:c r="E35" s="11" t="n"/>
      <x:c r="F35" s="11" t="n">
        <x:v>6</x:v>
      </x:c>
      <x:c r="G35" s="11" t="n">
        <x:v>8</x:v>
      </x:c>
      <x:c r="H35" s="11" t="n">
        <x:v>8</x:v>
      </x:c>
      <x:c r="I35" s="11" t="n">
        <x:v>8</x:v>
      </x:c>
      <x:c r="J35" s="11" t="n">
        <x:v>8</x:v>
      </x:c>
      <x:c r="K35" s="11" t="n">
        <x:v>8</x:v>
      </x:c>
      <x:c r="L35" s="11" t="n"/>
      <x:c r="M35" s="11" t="n"/>
      <x:c r="N35" s="11" t="n">
        <x:v>8</x:v>
      </x:c>
      <x:c r="O35" s="11" t="n">
        <x:v>8</x:v>
      </x:c>
      <x:c r="P35" s="11" t="n">
        <x:v>8</x:v>
      </x:c>
      <x:c r="Q35" s="11" t="n">
        <x:v>7.9</x:v>
      </x:c>
      <x:c r="R35" s="12" t="n">
        <x:v>8</x:v>
      </x:c>
      <x:c r="S35" s="13">
        <x:f>SUM(C35:R35)</x:f>
        <x:v>99.9</x:v>
      </x:c>
      <x:c r="T35" s="11">
        <x:f>MAX(0,96-S35)</x:f>
        <x:v>0</x:v>
      </x:c>
      <x:c r="U35" s="11" t="n">
        <x:v>12</x:v>
      </x:c>
      <x:c r="V35" s="79" t="n">
        <x:v>500</x:v>
      </x:c>
      <x:c r="W35" s="10" t="inlineStr">
        <x:is>
          <x:t xml:space="preserve">Oct 16-31, 2025</x:t>
        </x:is>
      </x:c>
    </x:row>
    <x:row r="36" s="71" customFormat="1" ht="14.399999618530273" customHeight="1">
      <x:c r="A36" s="10" t="inlineStr">
        <x:is>
          <x:t xml:space="preserve">02100295</x:t>
        </x:is>
      </x:c>
      <x:c r="B36" s="10" t="inlineStr">
        <x:is>
          <x:t xml:space="preserve">Genil Silva</x:t>
        </x:is>
      </x:c>
      <x:c r="C36" s="11" t="n">
        <x:v>8</x:v>
      </x:c>
      <x:c r="D36" s="11" t="n">
        <x:v>8</x:v>
      </x:c>
      <x:c r="E36" s="11" t="n"/>
      <x:c r="F36" s="11" t="n"/>
      <x:c r="G36" s="11" t="n">
        <x:v>8</x:v>
      </x:c>
      <x:c r="H36" s="11" t="n">
        <x:v>8</x:v>
      </x:c>
      <x:c r="I36" s="11" t="n">
        <x:v>8</x:v>
      </x:c>
      <x:c r="J36" s="11" t="n">
        <x:v>8</x:v>
      </x:c>
      <x:c r="K36" s="11" t="n">
        <x:v>4</x:v>
      </x:c>
      <x:c r="L36" s="11" t="n"/>
      <x:c r="M36" s="11" t="n"/>
      <x:c r="N36" s="11" t="n">
        <x:v>8</x:v>
      </x:c>
      <x:c r="O36" s="11" t="n">
        <x:v>8</x:v>
      </x:c>
      <x:c r="P36" s="11" t="n">
        <x:v>4</x:v>
      </x:c>
      <x:c r="Q36" s="11" t="n">
        <x:v>8</x:v>
      </x:c>
      <x:c r="R36" s="12" t="n">
        <x:v>0</x:v>
      </x:c>
      <x:c r="S36" s="13">
        <x:f>SUM(C36:R36)</x:f>
        <x:v>80</x:v>
      </x:c>
      <x:c r="T36" s="11">
        <x:f>MAX(0,96-S36)</x:f>
        <x:v>16</x:v>
      </x:c>
      <x:c r="U36" s="11" t="n">
        <x:v>0</x:v>
      </x:c>
      <x:c r="V36" s="79" t="n">
        <x:v>0</x:v>
      </x:c>
      <x:c r="W36" s="10" t="inlineStr">
        <x:is>
          <x:t xml:space="preserve">Oct 16-31, 2025</x:t>
        </x:is>
      </x:c>
    </x:row>
    <x:row r="37" s="71" customFormat="1" ht="14.399999618530273" customHeight="1">
      <x:c r="A37" s="10" t="inlineStr">
        <x:is>
          <x:t xml:space="preserve">01100123</x:t>
        </x:is>
      </x:c>
      <x:c r="B37" s="10" t="inlineStr">
        <x:is>
          <x:t xml:space="preserve">Gerra Rose Fajardo</x:t>
        </x:is>
      </x:c>
      <x:c r="C37" s="11" t="n">
        <x:v>8</x:v>
      </x:c>
      <x:c r="D37" s="11" t="n">
        <x:v>0</x:v>
      </x:c>
      <x:c r="E37" s="11" t="n"/>
      <x:c r="F37" s="11" t="n"/>
      <x:c r="G37" s="11" t="n">
        <x:v>8</x:v>
      </x:c>
      <x:c r="H37" s="11" t="n">
        <x:v>8</x:v>
      </x:c>
      <x:c r="I37" s="11" t="n">
        <x:v>8</x:v>
      </x:c>
      <x:c r="J37" s="11" t="n">
        <x:v>8</x:v>
      </x:c>
      <x:c r="K37" s="11" t="n">
        <x:v>6</x:v>
      </x:c>
      <x:c r="L37" s="11" t="n"/>
      <x:c r="M37" s="11" t="n"/>
      <x:c r="N37" s="11" t="n">
        <x:v>8</x:v>
      </x:c>
      <x:c r="O37" s="11" t="n">
        <x:v>8</x:v>
      </x:c>
      <x:c r="P37" s="11" t="n">
        <x:v>8</x:v>
      </x:c>
      <x:c r="Q37" s="11" t="n">
        <x:v>8</x:v>
      </x:c>
      <x:c r="R37" s="12" t="n">
        <x:v>8</x:v>
      </x:c>
      <x:c r="S37" s="13">
        <x:f>SUM(C37:R37)</x:f>
        <x:v>86</x:v>
      </x:c>
      <x:c r="T37" s="11">
        <x:f>MAX(0,96-S37)</x:f>
        <x:v>10</x:v>
      </x:c>
      <x:c r="U37" s="11" t="n">
        <x:v>8</x:v>
      </x:c>
      <x:c r="V37" s="79" t="n">
        <x:v>0</x:v>
      </x:c>
      <x:c r="W37" s="10" t="inlineStr">
        <x:is>
          <x:t xml:space="preserve">Oct 16-31, 2025</x:t>
        </x:is>
      </x:c>
    </x:row>
    <x:row r="38" s="71" customFormat="1" ht="14.399999618530273" customHeight="1">
      <x:c r="A38" s="10" t="inlineStr">
        <x:is>
          <x:t xml:space="preserve">01100222</x:t>
        </x:is>
      </x:c>
      <x:c r="B38" s="10" t="inlineStr">
        <x:is>
          <x:t xml:space="preserve">Glenn Oplado</x:t>
        </x:is>
      </x:c>
      <x:c r="C38" s="11" t="n">
        <x:v>8</x:v>
      </x:c>
      <x:c r="D38" s="11" t="n">
        <x:v>6</x:v>
      </x:c>
      <x:c r="E38" s="11" t="n"/>
      <x:c r="F38" s="11" t="n"/>
      <x:c r="G38" s="11" t="n">
        <x:v>8</x:v>
      </x:c>
      <x:c r="H38" s="11" t="n">
        <x:v>8</x:v>
      </x:c>
      <x:c r="I38" s="11" t="n">
        <x:v>8</x:v>
      </x:c>
      <x:c r="J38" s="11" t="n">
        <x:v>8</x:v>
      </x:c>
      <x:c r="K38" s="11" t="n">
        <x:v>8</x:v>
      </x:c>
      <x:c r="L38" s="11" t="n"/>
      <x:c r="M38" s="11" t="n"/>
      <x:c r="N38" s="11" t="n">
        <x:v>8</x:v>
      </x:c>
      <x:c r="O38" s="11" t="n">
        <x:v>8</x:v>
      </x:c>
      <x:c r="P38" s="11" t="n">
        <x:v>8</x:v>
      </x:c>
      <x:c r="Q38" s="11" t="n">
        <x:v>8</x:v>
      </x:c>
      <x:c r="R38" s="12" t="n">
        <x:v>8</x:v>
      </x:c>
      <x:c r="S38" s="13">
        <x:f>SUM(C38:R38)</x:f>
        <x:v>94</x:v>
      </x:c>
      <x:c r="T38" s="11">
        <x:f>MAX(0,96-S38)</x:f>
        <x:v>2</x:v>
      </x:c>
      <x:c r="U38" s="11" t="n">
        <x:v>16</x:v>
      </x:c>
      <x:c r="V38" s="79" t="n">
        <x:v>0</x:v>
      </x:c>
      <x:c r="W38" s="10" t="inlineStr">
        <x:is>
          <x:t xml:space="preserve">Oct 16-31, 2025</x:t>
        </x:is>
      </x:c>
    </x:row>
    <x:row r="39" s="71" customFormat="1" ht="14.399999618530273" customHeight="1">
      <x:c r="A39" s="10" t="inlineStr">
        <x:is>
          <x:t xml:space="preserve">02100127</x:t>
        </x:is>
      </x:c>
      <x:c r="B39" s="10" t="inlineStr">
        <x:is>
          <x:t xml:space="preserve">Hannah Jane Villegas Nocete</x:t>
        </x:is>
      </x:c>
      <x:c r="C39" s="11" t="n">
        <x:v>7.25</x:v>
      </x:c>
      <x:c r="D39" s="11" t="n">
        <x:v>8</x:v>
      </x:c>
      <x:c r="E39" s="11" t="n"/>
      <x:c r="F39" s="11" t="n"/>
      <x:c r="G39" s="11" t="n">
        <x:v>8</x:v>
      </x:c>
      <x:c r="H39" s="11" t="n">
        <x:v>8</x:v>
      </x:c>
      <x:c r="I39" s="11" t="n">
        <x:v>8</x:v>
      </x:c>
      <x:c r="J39" s="11" t="n">
        <x:v>8</x:v>
      </x:c>
      <x:c r="K39" s="11" t="n">
        <x:v>8</x:v>
      </x:c>
      <x:c r="L39" s="11" t="n"/>
      <x:c r="M39" s="11" t="n"/>
      <x:c r="N39" s="11" t="n">
        <x:v>8</x:v>
      </x:c>
      <x:c r="O39" s="11" t="n">
        <x:v>8</x:v>
      </x:c>
      <x:c r="P39" s="11" t="n">
        <x:v>8</x:v>
      </x:c>
      <x:c r="Q39" s="11" t="n">
        <x:v>8</x:v>
      </x:c>
      <x:c r="R39" s="12" t="n">
        <x:v>8</x:v>
      </x:c>
      <x:c r="S39" s="13">
        <x:f>SUM(C39:R39)</x:f>
        <x:v>95.25</x:v>
      </x:c>
      <x:c r="T39" s="11">
        <x:f>MAX(0,96-S39)</x:f>
        <x:v>0.75</x:v>
      </x:c>
      <x:c r="U39" s="11" t="n">
        <x:v>0</x:v>
      </x:c>
      <x:c r="V39" s="79" t="n">
        <x:v>0</x:v>
      </x:c>
      <x:c r="W39" s="10" t="inlineStr">
        <x:is>
          <x:t xml:space="preserve">Oct 16-31, 2025</x:t>
        </x:is>
      </x:c>
    </x:row>
    <x:row r="40" s="71" customFormat="1" ht="14.399999618530273" customHeight="1">
      <x:c r="A40" s="10" t="inlineStr">
        <x:is>
          <x:t xml:space="preserve">02100128</x:t>
        </x:is>
      </x:c>
      <x:c r="B40" s="10" t="inlineStr">
        <x:is>
          <x:t xml:space="preserve">Harlley D. Alos</x:t>
        </x:is>
      </x:c>
      <x:c r="C40" s="11" t="n">
        <x:v>8</x:v>
      </x:c>
      <x:c r="D40" s="11" t="n">
        <x:v>4</x:v>
      </x:c>
      <x:c r="E40" s="11" t="n"/>
      <x:c r="F40" s="11" t="n"/>
      <x:c r="G40" s="11" t="n">
        <x:v>8</x:v>
      </x:c>
      <x:c r="H40" s="11" t="n">
        <x:v>8</x:v>
      </x:c>
      <x:c r="I40" s="11" t="n">
        <x:v>8</x:v>
      </x:c>
      <x:c r="J40" s="11" t="n">
        <x:v>8</x:v>
      </x:c>
      <x:c r="K40" s="11" t="n">
        <x:v>8</x:v>
      </x:c>
      <x:c r="L40" s="11" t="n"/>
      <x:c r="M40" s="11" t="n"/>
      <x:c r="N40" s="11" t="n">
        <x:v>8</x:v>
      </x:c>
      <x:c r="O40" s="11" t="n">
        <x:v>8</x:v>
      </x:c>
      <x:c r="P40" s="11" t="n">
        <x:v>8</x:v>
      </x:c>
      <x:c r="Q40" s="11" t="n">
        <x:v>8</x:v>
      </x:c>
      <x:c r="R40" s="12" t="n">
        <x:v>8</x:v>
      </x:c>
      <x:c r="S40" s="13">
        <x:f>SUM(C40:R40)</x:f>
        <x:v>92</x:v>
      </x:c>
      <x:c r="T40" s="11">
        <x:f>MAX(0,96-S40)</x:f>
        <x:v>4</x:v>
      </x:c>
      <x:c r="U40" s="11" t="n">
        <x:v>16</x:v>
      </x:c>
      <x:c r="V40" s="79" t="n">
        <x:v>0</x:v>
      </x:c>
      <x:c r="W40" s="10" t="inlineStr">
        <x:is>
          <x:t xml:space="preserve">Oct 16-31, 2025</x:t>
        </x:is>
      </x:c>
    </x:row>
    <x:row r="41" s="71" customFormat="1" ht="14.399999618530273" customHeight="1">
      <x:c r="A41" s="10" t="inlineStr">
        <x:is>
          <x:t xml:space="preserve">02100202</x:t>
        </x:is>
      </x:c>
      <x:c r="B41" s="10" t="inlineStr">
        <x:is>
          <x:t xml:space="preserve">Heide Camuta</x:t>
        </x:is>
      </x:c>
      <x:c r="C41" s="11" t="n">
        <x:v>8</x:v>
      </x:c>
      <x:c r="D41" s="11" t="n">
        <x:v>8</x:v>
      </x:c>
      <x:c r="E41" s="11" t="n">
        <x:v>6</x:v>
      </x:c>
      <x:c r="F41" s="11" t="n"/>
      <x:c r="G41" s="11" t="n">
        <x:v>8</x:v>
      </x:c>
      <x:c r="H41" s="11" t="n">
        <x:v>8</x:v>
      </x:c>
      <x:c r="I41" s="11" t="n">
        <x:v>8</x:v>
      </x:c>
      <x:c r="J41" s="11" t="n">
        <x:v>8</x:v>
      </x:c>
      <x:c r="K41" s="11" t="n">
        <x:v>0</x:v>
      </x:c>
      <x:c r="L41" s="11" t="n"/>
      <x:c r="M41" s="11" t="n"/>
      <x:c r="N41" s="11" t="n">
        <x:v>7.9</x:v>
      </x:c>
      <x:c r="O41" s="11" t="n">
        <x:v>7.5</x:v>
      </x:c>
      <x:c r="P41" s="11" t="n">
        <x:v>8</x:v>
      </x:c>
      <x:c r="Q41" s="11" t="n">
        <x:v>8</x:v>
      </x:c>
      <x:c r="R41" s="12" t="n">
        <x:v>6</x:v>
      </x:c>
      <x:c r="S41" s="13">
        <x:f>SUM(C41:R41)</x:f>
        <x:v>91.4</x:v>
      </x:c>
      <x:c r="T41" s="11">
        <x:f>MAX(0,96-S41)</x:f>
        <x:v>4.599999999999994</x:v>
      </x:c>
      <x:c r="U41" s="11" t="n">
        <x:v>16</x:v>
      </x:c>
      <x:c r="V41" s="79" t="n">
        <x:v>1200</x:v>
      </x:c>
      <x:c r="W41" s="10" t="inlineStr">
        <x:is>
          <x:t xml:space="preserve">Oct 16-31, 2025</x:t>
        </x:is>
      </x:c>
    </x:row>
    <x:row r="42" s="71" customFormat="1" ht="14.399999618530273" customHeight="1">
      <x:c r="A42" s="10" t="inlineStr">
        <x:is>
          <x:t xml:space="preserve">01100129</x:t>
        </x:is>
      </x:c>
      <x:c r="B42" s="10" t="inlineStr">
        <x:is>
          <x:t xml:space="preserve">Ingrid Irene Garcia</x:t>
        </x:is>
      </x:c>
      <x:c r="C42" s="11" t="n">
        <x:v>8</x:v>
      </x:c>
      <x:c r="D42" s="11" t="n">
        <x:v>4</x:v>
      </x:c>
      <x:c r="E42" s="11" t="n"/>
      <x:c r="F42" s="11" t="n"/>
      <x:c r="G42" s="11" t="n">
        <x:v>8</x:v>
      </x:c>
      <x:c r="H42" s="11" t="n">
        <x:v>8</x:v>
      </x:c>
      <x:c r="I42" s="11" t="n">
        <x:v>8</x:v>
      </x:c>
      <x:c r="J42" s="11" t="n">
        <x:v>8</x:v>
      </x:c>
      <x:c r="K42" s="11" t="n">
        <x:v>8</x:v>
      </x:c>
      <x:c r="L42" s="11" t="n"/>
      <x:c r="M42" s="11" t="n"/>
      <x:c r="N42" s="11" t="n">
        <x:v>0</x:v>
      </x:c>
      <x:c r="O42" s="11" t="n">
        <x:v>8</x:v>
      </x:c>
      <x:c r="P42" s="11" t="n">
        <x:v>8</x:v>
      </x:c>
      <x:c r="Q42" s="11" t="n">
        <x:v>8</x:v>
      </x:c>
      <x:c r="R42" s="12" t="n">
        <x:v>6</x:v>
      </x:c>
      <x:c r="S42" s="13">
        <x:f>SUM(C42:R42)</x:f>
        <x:v>82</x:v>
      </x:c>
      <x:c r="T42" s="11">
        <x:f>MAX(0,96-S42)</x:f>
        <x:v>14</x:v>
      </x:c>
      <x:c r="U42" s="11" t="n">
        <x:v>0</x:v>
      </x:c>
      <x:c r="V42" s="79" t="n">
        <x:v>0</x:v>
      </x:c>
      <x:c r="W42" s="10" t="inlineStr">
        <x:is>
          <x:t xml:space="preserve">Oct 16-31, 2025</x:t>
        </x:is>
      </x:c>
    </x:row>
    <x:row r="43" s="71" customFormat="1" ht="14.399999618530273" customHeight="1">
      <x:c r="A43" s="10" t="inlineStr">
        <x:is>
          <x:t xml:space="preserve">01100273</x:t>
        </x:is>
      </x:c>
      <x:c r="B43" s="10" t="inlineStr">
        <x:is>
          <x:t xml:space="preserve">Ira Niña Casiño</x:t>
        </x:is>
      </x:c>
      <x:c r="C43" s="11" t="n">
        <x:v>8</x:v>
      </x:c>
      <x:c r="D43" s="11" t="n">
        <x:v>8</x:v>
      </x:c>
      <x:c r="E43" s="11" t="n"/>
      <x:c r="F43" s="11" t="n"/>
      <x:c r="G43" s="11" t="n">
        <x:v>8</x:v>
      </x:c>
      <x:c r="H43" s="11" t="n">
        <x:v>8</x:v>
      </x:c>
      <x:c r="I43" s="11" t="n">
        <x:v>0</x:v>
      </x:c>
      <x:c r="J43" s="11" t="n">
        <x:v>6</x:v>
      </x:c>
      <x:c r="K43" s="11" t="n">
        <x:v>8</x:v>
      </x:c>
      <x:c r="L43" s="11" t="n"/>
      <x:c r="M43" s="11" t="n"/>
      <x:c r="N43" s="11" t="n">
        <x:v>8</x:v>
      </x:c>
      <x:c r="O43" s="11" t="n">
        <x:v>8</x:v>
      </x:c>
      <x:c r="P43" s="11" t="n">
        <x:v>8</x:v>
      </x:c>
      <x:c r="Q43" s="11" t="n">
        <x:v>8</x:v>
      </x:c>
      <x:c r="R43" s="12" t="n">
        <x:v>8</x:v>
      </x:c>
      <x:c r="S43" s="13">
        <x:f>SUM(C43:R43)</x:f>
        <x:v>86</x:v>
      </x:c>
      <x:c r="T43" s="11">
        <x:f>MAX(0,96-S43)</x:f>
        <x:v>10</x:v>
      </x:c>
      <x:c r="U43" s="11" t="n">
        <x:v>12</x:v>
      </x:c>
      <x:c r="V43" s="79" t="n">
        <x:v>0</x:v>
      </x:c>
      <x:c r="W43" s="10" t="inlineStr">
        <x:is>
          <x:t xml:space="preserve">Oct 16-31, 2025</x:t>
        </x:is>
      </x:c>
    </x:row>
    <x:row r="44" s="71" customFormat="1" ht="14.399999618530273" customHeight="1">
      <x:c r="A44" s="10" t="inlineStr">
        <x:is>
          <x:t xml:space="preserve">02100130</x:t>
        </x:is>
      </x:c>
      <x:c r="B44" s="10" t="inlineStr">
        <x:is>
          <x:t xml:space="preserve">Jafferson Sojor</x:t>
        </x:is>
      </x:c>
      <x:c r="C44" s="11" t="n">
        <x:v>8</x:v>
      </x:c>
      <x:c r="D44" s="11" t="n">
        <x:v>8</x:v>
      </x:c>
      <x:c r="E44" s="11" t="n"/>
      <x:c r="F44" s="11" t="n"/>
      <x:c r="G44" s="11" t="n">
        <x:v>8</x:v>
      </x:c>
      <x:c r="H44" s="11" t="n">
        <x:v>8</x:v>
      </x:c>
      <x:c r="I44" s="11" t="n">
        <x:v>0</x:v>
      </x:c>
      <x:c r="J44" s="11" t="n">
        <x:v>7.25</x:v>
      </x:c>
      <x:c r="K44" s="11" t="n">
        <x:v>8</x:v>
      </x:c>
      <x:c r="L44" s="11" t="n"/>
      <x:c r="M44" s="11" t="n"/>
      <x:c r="N44" s="11" t="n">
        <x:v>8</x:v>
      </x:c>
      <x:c r="O44" s="11" t="n">
        <x:v>8</x:v>
      </x:c>
      <x:c r="P44" s="11" t="n">
        <x:v>8</x:v>
      </x:c>
      <x:c r="Q44" s="11" t="n">
        <x:v>8</x:v>
      </x:c>
      <x:c r="R44" s="12" t="n">
        <x:v>6</x:v>
      </x:c>
      <x:c r="S44" s="13">
        <x:f>SUM(C44:R44)</x:f>
        <x:v>85.25</x:v>
      </x:c>
      <x:c r="T44" s="11">
        <x:f>MAX(0,96-S44)</x:f>
        <x:v>10.75</x:v>
      </x:c>
      <x:c r="U44" s="11" t="n">
        <x:v>8</x:v>
      </x:c>
      <x:c r="V44" s="79" t="n">
        <x:v>0</x:v>
      </x:c>
      <x:c r="W44" s="10" t="inlineStr">
        <x:is>
          <x:t xml:space="preserve">Oct 16-31, 2025</x:t>
        </x:is>
      </x:c>
    </x:row>
    <x:row r="45" s="71" customFormat="1" ht="14.399999618530273" customHeight="1">
      <x:c r="A45" s="10" t="inlineStr">
        <x:is>
          <x:t xml:space="preserve">01100131</x:t>
        </x:is>
      </x:c>
      <x:c r="B45" s="10" t="inlineStr">
        <x:is>
          <x:t xml:space="preserve">James Anthony Adolfo</x:t>
        </x:is>
      </x:c>
      <x:c r="C45" s="11" t="n">
        <x:v>8</x:v>
      </x:c>
      <x:c r="D45" s="11" t="n">
        <x:v>4</x:v>
      </x:c>
      <x:c r="E45" s="11" t="n"/>
      <x:c r="F45" s="11" t="n"/>
      <x:c r="G45" s="11" t="n">
        <x:v>8</x:v>
      </x:c>
      <x:c r="H45" s="11" t="n">
        <x:v>8</x:v>
      </x:c>
      <x:c r="I45" s="11" t="n">
        <x:v>8</x:v>
      </x:c>
      <x:c r="J45" s="11" t="n">
        <x:v>8</x:v>
      </x:c>
      <x:c r="K45" s="11" t="n">
        <x:v>8</x:v>
      </x:c>
      <x:c r="L45" s="11" t="n"/>
      <x:c r="M45" s="11" t="n"/>
      <x:c r="N45" s="11" t="n">
        <x:v>8</x:v>
      </x:c>
      <x:c r="O45" s="11" t="n">
        <x:v>8</x:v>
      </x:c>
      <x:c r="P45" s="11" t="n">
        <x:v>8</x:v>
      </x:c>
      <x:c r="Q45" s="11" t="n">
        <x:v>8</x:v>
      </x:c>
      <x:c r="R45" s="12" t="n">
        <x:v>8</x:v>
      </x:c>
      <x:c r="S45" s="13">
        <x:f>SUM(C45:R45)</x:f>
        <x:v>92</x:v>
      </x:c>
      <x:c r="T45" s="11">
        <x:f>MAX(0,96-S45)</x:f>
        <x:v>4</x:v>
      </x:c>
      <x:c r="U45" s="11" t="n">
        <x:v>16</x:v>
      </x:c>
      <x:c r="V45" s="79" t="n">
        <x:v>0</x:v>
      </x:c>
      <x:c r="W45" s="10" t="inlineStr">
        <x:is>
          <x:t xml:space="preserve">Oct 16-31, 2025</x:t>
        </x:is>
      </x:c>
    </x:row>
    <x:row r="46" s="71" customFormat="1" ht="14.399999618530273" customHeight="1">
      <x:c r="A46" s="10" t="inlineStr">
        <x:is>
          <x:t xml:space="preserve">02100132</x:t>
        </x:is>
      </x:c>
      <x:c r="B46" s="10" t="inlineStr">
        <x:is>
          <x:t xml:space="preserve">James Mitchell E. Monares</x:t>
        </x:is>
      </x:c>
      <x:c r="C46" s="11" t="n">
        <x:v>8</x:v>
      </x:c>
      <x:c r="D46" s="11" t="n">
        <x:v>0</x:v>
      </x:c>
      <x:c r="E46" s="11" t="n"/>
      <x:c r="F46" s="11" t="n">
        <x:v>6</x:v>
      </x:c>
      <x:c r="G46" s="11" t="n">
        <x:v>8</x:v>
      </x:c>
      <x:c r="H46" s="11" t="n">
        <x:v>8</x:v>
      </x:c>
      <x:c r="I46" s="11" t="n">
        <x:v>8</x:v>
      </x:c>
      <x:c r="J46" s="11" t="n">
        <x:v>8</x:v>
      </x:c>
      <x:c r="K46" s="11" t="n">
        <x:v>8</x:v>
      </x:c>
      <x:c r="L46" s="11" t="n"/>
      <x:c r="M46" s="11" t="n"/>
      <x:c r="N46" s="11" t="n">
        <x:v>8</x:v>
      </x:c>
      <x:c r="O46" s="11" t="n">
        <x:v>7</x:v>
      </x:c>
      <x:c r="P46" s="11" t="n">
        <x:v>8</x:v>
      </x:c>
      <x:c r="Q46" s="11" t="n">
        <x:v>8</x:v>
      </x:c>
      <x:c r="R46" s="12" t="n">
        <x:v>4</x:v>
      </x:c>
      <x:c r="S46" s="13">
        <x:f>SUM(C46:R46)</x:f>
        <x:v>89</x:v>
      </x:c>
      <x:c r="T46" s="11">
        <x:f>MAX(0,96-S46)</x:f>
        <x:v>7</x:v>
      </x:c>
      <x:c r="U46" s="11" t="n">
        <x:v>4</x:v>
      </x:c>
      <x:c r="V46" s="79" t="n">
        <x:v>0</x:v>
      </x:c>
      <x:c r="W46" s="10" t="inlineStr">
        <x:is>
          <x:t xml:space="preserve">Oct 16-31, 2025</x:t>
        </x:is>
      </x:c>
    </x:row>
    <x:row r="47" s="71" customFormat="1" ht="14.399999618530273" customHeight="1">
      <x:c r="A47" s="10" t="inlineStr">
        <x:is>
          <x:t xml:space="preserve">02100133</x:t>
        </x:is>
      </x:c>
      <x:c r="B47" s="10" t="inlineStr">
        <x:is>
          <x:t xml:space="preserve">Janely Nayon</x:t>
        </x:is>
      </x:c>
      <x:c r="C47" s="11" t="n">
        <x:v>8</x:v>
      </x:c>
      <x:c r="D47" s="11" t="n">
        <x:v>0</x:v>
      </x:c>
      <x:c r="E47" s="11" t="n"/>
      <x:c r="F47" s="11" t="n"/>
      <x:c r="G47" s="11" t="n">
        <x:v>8</x:v>
      </x:c>
      <x:c r="H47" s="11" t="n">
        <x:v>7.9</x:v>
      </x:c>
      <x:c r="I47" s="11" t="n">
        <x:v>8</x:v>
      </x:c>
      <x:c r="J47" s="11" t="n">
        <x:v>8</x:v>
      </x:c>
      <x:c r="K47" s="11" t="n">
        <x:v>8</x:v>
      </x:c>
      <x:c r="L47" s="11" t="n"/>
      <x:c r="M47" s="11" t="n"/>
      <x:c r="N47" s="11" t="n">
        <x:v>6</x:v>
      </x:c>
      <x:c r="O47" s="11" t="n">
        <x:v>8</x:v>
      </x:c>
      <x:c r="P47" s="11" t="n">
        <x:v>8</x:v>
      </x:c>
      <x:c r="Q47" s="11" t="n">
        <x:v>8</x:v>
      </x:c>
      <x:c r="R47" s="12" t="n">
        <x:v>8</x:v>
      </x:c>
      <x:c r="S47" s="13">
        <x:f>SUM(C47:R47)</x:f>
        <x:v>85.9</x:v>
      </x:c>
      <x:c r="T47" s="11">
        <x:f>MAX(0,96-S47)</x:f>
        <x:v>10.099999999999994</x:v>
      </x:c>
      <x:c r="U47" s="11" t="n">
        <x:v>24</x:v>
      </x:c>
      <x:c r="V47" s="79" t="n">
        <x:v>0</x:v>
      </x:c>
      <x:c r="W47" s="10" t="inlineStr">
        <x:is>
          <x:t xml:space="preserve">Oct 16-31, 2025</x:t>
        </x:is>
      </x:c>
    </x:row>
    <x:row r="48" s="71" customFormat="1" ht="14.399999618530273" customHeight="1">
      <x:c r="A48" s="10" t="inlineStr">
        <x:is>
          <x:t xml:space="preserve">01200134</x:t>
        </x:is>
      </x:c>
      <x:c r="B48" s="10" t="inlineStr">
        <x:is>
          <x:t xml:space="preserve">Jarren Legaspino</x:t>
        </x:is>
      </x:c>
      <x:c r="C48" s="11" t="n">
        <x:v>8</x:v>
      </x:c>
      <x:c r="D48" s="11" t="n">
        <x:v>8</x:v>
      </x:c>
      <x:c r="E48" s="11" t="n"/>
      <x:c r="F48" s="11" t="n"/>
      <x:c r="G48" s="11" t="n">
        <x:v>8</x:v>
      </x:c>
      <x:c r="H48" s="11" t="n">
        <x:v>8</x:v>
      </x:c>
      <x:c r="I48" s="11" t="n">
        <x:v>4</x:v>
      </x:c>
      <x:c r="J48" s="11" t="n">
        <x:v>8</x:v>
      </x:c>
      <x:c r="K48" s="11" t="n">
        <x:v>7.9</x:v>
      </x:c>
      <x:c r="L48" s="11" t="n"/>
      <x:c r="M48" s="11" t="n"/>
      <x:c r="N48" s="11" t="n">
        <x:v>4</x:v>
      </x:c>
      <x:c r="O48" s="11" t="n">
        <x:v>8</x:v>
      </x:c>
      <x:c r="P48" s="11" t="n">
        <x:v>8</x:v>
      </x:c>
      <x:c r="Q48" s="11" t="n">
        <x:v>8</x:v>
      </x:c>
      <x:c r="R48" s="12" t="n">
        <x:v>4</x:v>
      </x:c>
      <x:c r="S48" s="13">
        <x:f>SUM(C48:R48)</x:f>
        <x:v>83.9</x:v>
      </x:c>
      <x:c r="T48" s="11">
        <x:f>MAX(0,96-S48)</x:f>
        <x:v>12.099999999999994</x:v>
      </x:c>
      <x:c r="U48" s="11" t="n">
        <x:v>12</x:v>
      </x:c>
      <x:c r="V48" s="79" t="n">
        <x:v>0</x:v>
      </x:c>
      <x:c r="W48" s="10" t="inlineStr">
        <x:is>
          <x:t xml:space="preserve">Oct 16-31, 2025</x:t>
        </x:is>
      </x:c>
    </x:row>
    <x:row r="49" s="71" customFormat="1" ht="14.399999618530273" customHeight="1">
      <x:c r="A49" s="10" t="inlineStr">
        <x:is>
          <x:t xml:space="preserve">01100254</x:t>
        </x:is>
      </x:c>
      <x:c r="B49" s="10" t="inlineStr">
        <x:is>
          <x:t xml:space="preserve">Jay Michael Decepolo</x:t>
        </x:is>
      </x:c>
      <x:c r="C49" s="11" t="n">
        <x:v>8</x:v>
      </x:c>
      <x:c r="D49" s="11" t="n">
        <x:v>4</x:v>
      </x:c>
      <x:c r="E49" s="11" t="n"/>
      <x:c r="F49" s="11" t="n"/>
      <x:c r="G49" s="11" t="n">
        <x:v>8</x:v>
      </x:c>
      <x:c r="H49" s="11" t="n">
        <x:v>8</x:v>
      </x:c>
      <x:c r="I49" s="11" t="n">
        <x:v>8</x:v>
      </x:c>
      <x:c r="J49" s="11" t="n">
        <x:v>8</x:v>
      </x:c>
      <x:c r="K49" s="11" t="n">
        <x:v>8</x:v>
      </x:c>
      <x:c r="L49" s="11" t="n"/>
      <x:c r="M49" s="11" t="n"/>
      <x:c r="N49" s="11" t="n">
        <x:v>8</x:v>
      </x:c>
      <x:c r="O49" s="11" t="n">
        <x:v>8</x:v>
      </x:c>
      <x:c r="P49" s="11" t="n">
        <x:v>8</x:v>
      </x:c>
      <x:c r="Q49" s="11" t="n">
        <x:v>8</x:v>
      </x:c>
      <x:c r="R49" s="12" t="n">
        <x:v>8</x:v>
      </x:c>
      <x:c r="S49" s="13">
        <x:f>SUM(C49:R49)</x:f>
        <x:v>92</x:v>
      </x:c>
      <x:c r="T49" s="11">
        <x:f>MAX(0,96-S49)</x:f>
        <x:v>4</x:v>
      </x:c>
      <x:c r="U49" s="11" t="n">
        <x:v>24</x:v>
      </x:c>
      <x:c r="V49" s="79" t="n">
        <x:v>0</x:v>
      </x:c>
      <x:c r="W49" s="10" t="inlineStr">
        <x:is>
          <x:t xml:space="preserve">Oct 16-31, 2025</x:t>
        </x:is>
      </x:c>
    </x:row>
    <x:row r="50" s="71" customFormat="1" ht="14.399999618530273" customHeight="1">
      <x:c r="A50" s="10" t="inlineStr">
        <x:is>
          <x:t xml:space="preserve">02100135</x:t>
        </x:is>
      </x:c>
      <x:c r="B50" s="10" t="inlineStr">
        <x:is>
          <x:t xml:space="preserve">Jay Pee Antinero</x:t>
        </x:is>
      </x:c>
      <x:c r="C50" s="11" t="n">
        <x:v>4</x:v>
      </x:c>
      <x:c r="D50" s="11" t="n">
        <x:v>8</x:v>
      </x:c>
      <x:c r="E50" s="11" t="n"/>
      <x:c r="F50" s="11" t="n"/>
      <x:c r="G50" s="11" t="n">
        <x:v>8</x:v>
      </x:c>
      <x:c r="H50" s="11" t="n">
        <x:v>8</x:v>
      </x:c>
      <x:c r="I50" s="11" t="n">
        <x:v>8</x:v>
      </x:c>
      <x:c r="J50" s="11" t="n">
        <x:v>8</x:v>
      </x:c>
      <x:c r="K50" s="11" t="n">
        <x:v>8</x:v>
      </x:c>
      <x:c r="L50" s="11" t="n"/>
      <x:c r="M50" s="11" t="n"/>
      <x:c r="N50" s="11" t="n">
        <x:v>8</x:v>
      </x:c>
      <x:c r="O50" s="11" t="n">
        <x:v>8</x:v>
      </x:c>
      <x:c r="P50" s="11" t="n">
        <x:v>0</x:v>
      </x:c>
      <x:c r="Q50" s="11" t="n">
        <x:v>7</x:v>
      </x:c>
      <x:c r="R50" s="12" t="n">
        <x:v>8</x:v>
      </x:c>
      <x:c r="S50" s="13">
        <x:f>SUM(C50:R50)</x:f>
        <x:v>83</x:v>
      </x:c>
      <x:c r="T50" s="11">
        <x:f>MAX(0,96-S50)</x:f>
        <x:v>13</x:v>
      </x:c>
      <x:c r="U50" s="11" t="n">
        <x:v>8</x:v>
      </x:c>
      <x:c r="V50" s="79" t="n">
        <x:v>200</x:v>
      </x:c>
      <x:c r="W50" s="10" t="inlineStr">
        <x:is>
          <x:t xml:space="preserve">Oct 16-31, 2025</x:t>
        </x:is>
      </x:c>
    </x:row>
    <x:row r="51" s="71" customFormat="1" ht="14.399999618530273" customHeight="1">
      <x:c r="A51" s="10" t="n"/>
      <x:c r="B51" s="10" t="n"/>
      <x:c r="C51" s="16">
        <x:f>SUM(C2:C50)</x:f>
        <x:v>376.5</x:v>
      </x:c>
      <x:c r="D51" s="16">
        <x:f>SUM(D2:D50)</x:f>
        <x:v>278</x:v>
      </x:c>
      <x:c r="E51" s="16">
        <x:f>SUM(E2:E50)</x:f>
        <x:v>14</x:v>
      </x:c>
      <x:c r="F51" s="16">
        <x:f>SUM(F2:F50)</x:f>
        <x:v>12</x:v>
      </x:c>
      <x:c r="G51" s="16">
        <x:f>SUM(G2:G50)</x:f>
        <x:v>377.15</x:v>
      </x:c>
      <x:c r="H51" s="16">
        <x:f>SUM(H2:H50)</x:f>
        <x:v>364.4</x:v>
      </x:c>
      <x:c r="I51" s="16">
        <x:f>SUM(I2:I50)</x:f>
        <x:v>360.55</x:v>
      </x:c>
      <x:c r="J51" s="16">
        <x:f>SUM(J2:J50)</x:f>
        <x:v>368.5</x:v>
      </x:c>
      <x:c r="K51" s="16">
        <x:f>SUM(K2:K50)</x:f>
        <x:v>345.54999999999995</x:v>
      </x:c>
      <x:c r="L51" s="16">
        <x:f>SUM(L2:L50)</x:f>
        <x:v>8</x:v>
      </x:c>
      <x:c r="M51" s="16">
        <x:f>SUM(M2:M50)</x:f>
        <x:v>16</x:v>
      </x:c>
      <x:c r="N51" s="16">
        <x:f>SUM(N2:N50)</x:f>
        <x:v>368.15</x:v>
      </x:c>
      <x:c r="O51" s="16">
        <x:f>SUM(O2:O50)</x:f>
        <x:v>373.75</x:v>
      </x:c>
      <x:c r="P51" s="16">
        <x:f>SUM(P2:P50)</x:f>
        <x:v>353.15</x:v>
      </x:c>
      <x:c r="Q51" s="16">
        <x:f>SUM(Q2:Q50)</x:f>
        <x:v>383.15</x:v>
      </x:c>
      <x:c r="R51" s="16">
        <x:f>SUM(R2:R50)</x:f>
        <x:v>272</x:v>
      </x:c>
      <x:c r="S51" s="17">
        <x:f>SUM(S2:S50)</x:f>
        <x:v>4270.85</x:v>
      </x:c>
      <x:c r="T51" s="16">
        <x:f>SUM(T2:T50)</x:f>
        <x:v>440.95000000000005</x:v>
      </x:c>
      <x:c r="U51" s="16">
        <x:f>SUM(U2:U50)</x:f>
        <x:v>476</x:v>
      </x:c>
      <x:c r="V51" s="79">
        <x:f>SUM(V2:V50)</x:f>
        <x:v>7700</x:v>
      </x:c>
      <x:c r="W51" s="10" t="inlineStr">
        <x:is>
          <x:t xml:space="preserve">1st Cut-off</x:t>
        </x:is>
      </x:c>
    </x:row>
    <x:row r="52" s="71" customFormat="1" ht="14.399999618530273" customHeight="1">
      <x:c r="A52" s="10" t="n"/>
      <x:c r="B52" s="10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</x:row>
    <x:row r="53" s="71" customFormat="1" ht="14.399999618530273" customHeight="1">
      <x:c r="A53" s="10" t="n"/>
      <x:c r="B53" s="10" t="n"/>
      <x:c r="C53" s="11" t="n"/>
      <x:c r="D53" s="11" t="n"/>
      <x:c r="E53" s="11" t="n"/>
      <x:c r="F53" s="11" t="n"/>
      <x:c r="G53" s="11" t="n"/>
      <x:c r="H53" s="11" t="n"/>
      <x:c r="I53" s="11" t="n"/>
      <x:c r="J53" s="11" t="n"/>
      <x:c r="K53" s="11" t="n"/>
      <x:c r="L53" s="11" t="n"/>
      <x:c r="M53" s="11" t="n"/>
      <x:c r="N53" s="11" t="n"/>
      <x:c r="O53" s="11" t="n"/>
      <x:c r="P53" s="11" t="n"/>
      <x:c r="Q53" s="11" t="n"/>
      <x:c r="R53" s="11" t="n"/>
      <x:c r="S53" s="11" t="n"/>
    </x:row>
    <x:row r="54" s="71" customFormat="1" ht="15" customHeight="1">
      <x:c r="A54" s="10" t="n"/>
      <x:c r="B54" s="10" t="n"/>
    </x:row>
    <x:row r="55" s="71" customFormat="1" ht="15" customHeight="1">
      <x:c r="A55" s="10" t="n"/>
      <x:c r="B55" s="10" t="n"/>
    </x:row>
    <x:row r="56" s="71" customFormat="1" ht="14.399999618530273" customHeight="1">
      <x:c r="A56" s="10" t="n"/>
      <x:c r="B56" s="10" t="n"/>
    </x:row>
    <x:row r="57" s="71" customFormat="1" ht="15" customHeight="1">
      <x:c r="A57" s="10" t="n"/>
      <x:c r="B57" s="10" t="n"/>
    </x:row>
    <x:row r="58" s="71" customFormat="1" ht="15" customHeight="1">
      <x:c r="A58" s="10" t="n"/>
      <x:c r="B58" s="10" t="n"/>
    </x:row>
    <x:row r="59" s="71" customFormat="1" ht="15" customHeight="1">
      <x:c r="A59" s="10" t="n"/>
      <x:c r="B59" s="10" t="n"/>
    </x:row>
    <x:row r="60" s="71" customFormat="1" ht="15" customHeight="1">
      <x:c r="A60" s="10" t="n"/>
      <x:c r="B60" s="10" t="n"/>
    </x:row>
    <x:row r="61" s="71" customFormat="1" ht="15" customHeight="1">
      <x:c r="A61" s="15" t="n"/>
      <x:c r="B61" s="10" t="n"/>
    </x:row>
    <x:row r="62" s="71" customFormat="1" ht="15" customHeight="1">
      <x:c r="A62" s="6" t="n"/>
      <x:c r="B62" s="10" t="n"/>
    </x:row>
    <x:row r="63" s="71" customFormat="1" ht="15" customHeight="1">
      <x:c r="A63" s="6" t="n"/>
      <x:c r="B63" s="10" t="n"/>
    </x:row>
    <x:row r="64" s="71" customFormat="1" ht="15" customHeight="1">
      <x:c r="B64" s="10" t="n"/>
    </x:row>
    <x:row r="65" s="71" customFormat="1" ht="15" customHeight="1">
      <x:c r="B65" s="10" t="n"/>
    </x:row>
    <x:row r="66" s="71" customFormat="1" ht="15" customHeight="1">
      <x:c r="A66" s="10" t="n"/>
      <x:c r="B66" s="10" t="n"/>
    </x:row>
    <x:row r="67" s="71" customFormat="1" ht="15" customHeight="1">
      <x:c r="B67" s="10" t="n"/>
    </x:row>
    <x:row r="68" s="71" customFormat="1" ht="15" customHeight="1">
      <x:c r="B68" s="10" t="n"/>
    </x:row>
    <x:row r="69" s="71" customFormat="1" ht="15" customHeight="1">
      <x:c r="B69" s="10" t="n"/>
    </x:row>
    <x:row r="70" s="71" customFormat="1" ht="15" customHeight="1">
      <x:c r="B70" s="10" t="n"/>
    </x:row>
    <x:row r="71" s="71" customFormat="1" ht="15" customHeight="1">
      <x:c r="B71" s="10" t="n"/>
    </x:row>
    <x:row r="72" s="71" customFormat="1" ht="15" customHeight="1">
      <x:c r="B72" s="10" t="n"/>
    </x:row>
    <x:row r="73" s="71" customFormat="1" ht="15" customHeight="1">
      <x:c r="B73" s="10" t="n"/>
    </x:row>
    <x:row r="74" s="71" customFormat="1" ht="15" customHeight="1">
      <x:c r="B74" s="10" t="n"/>
    </x:row>
    <x:row r="75" s="71" customFormat="1" ht="15" customHeight="1">
      <x:c r="B75" s="10" t="n"/>
    </x:row>
    <x:row r="76" s="71" customFormat="1" ht="15" customHeight="1">
      <x:c r="B76" s="10" t="n"/>
    </x:row>
    <x:row r="77" s="71" customFormat="1" ht="15" customHeight="1">
      <x:c r="B77" s="10" t="n"/>
    </x:row>
    <x:row r="78" s="71" customFormat="1" ht="15" customHeight="1">
      <x:c r="B78" s="10" t="n"/>
    </x:row>
    <x:row r="79" s="71" customFormat="1" ht="15" customHeight="1">
      <x:c r="B79" s="10" t="n"/>
    </x:row>
    <x:row r="80" s="71" customFormat="1" ht="15" customHeight="1">
      <x:c r="B80" s="10" t="n"/>
    </x:row>
    <x:row r="81" s="71" customFormat="1" ht="15" customHeight="1">
      <x:c r="B81" s="10" t="n"/>
    </x:row>
    <x:row r="82" s="71" customFormat="1" ht="15" customHeight="1">
      <x:c r="B82" s="10" t="n"/>
    </x:row>
    <x:row r="83" s="71" customFormat="1" ht="15" customHeight="1">
      <x:c r="B83" s="10" t="n"/>
    </x:row>
    <x:row r="84" s="71" customFormat="1" ht="15" customHeight="1">
      <x:c r="B84" s="10" t="n"/>
    </x:row>
    <x:row r="85" s="71" customFormat="1" ht="15" customHeight="1">
      <x:c r="B85" s="10" t="n"/>
    </x:row>
    <x:row r="86" s="71" customFormat="1" ht="15" customHeight="1">
      <x:c r="B86" s="10" t="n"/>
    </x:row>
    <x:row r="87" s="71" customFormat="1" ht="15" customHeight="1">
      <x:c r="B87" s="10" t="n"/>
    </x:row>
    <x:row r="88" s="71" customFormat="1" ht="15" customHeight="1">
      <x:c r="B88" s="10" t="n"/>
    </x:row>
    <x:row r="89" s="71" customFormat="1" ht="15" customHeight="1">
      <x:c r="B89" s="10" t="n"/>
    </x:row>
    <x:row r="90" s="71" customFormat="1" ht="15" customHeight="1">
      <x:c r="B90" s="10" t="n"/>
    </x:row>
    <x:row r="91" s="71" customFormat="1" ht="15" customHeight="1">
      <x:c r="B91" s="10" t="n"/>
    </x:row>
    <x:row r="92" s="71" customFormat="1" ht="15" customHeight="1">
      <x:c r="B92" s="10" t="n"/>
    </x:row>
    <x:row r="93" s="71" customFormat="1" ht="15" customHeight="1">
      <x:c r="B93" s="10" t="n"/>
    </x:row>
    <x:row r="94" s="71" customFormat="1" ht="15" customHeight="1">
      <x:c r="B94" s="10" t="n"/>
    </x:row>
    <x:row r="95" s="71" customFormat="1" ht="15" customHeight="1">
      <x:c r="B95" s="10" t="n"/>
    </x:row>
    <x:row r="96" s="71" customFormat="1" ht="15" customHeight="1">
      <x:c r="B96" s="10" t="n"/>
    </x:row>
    <x:row r="97" s="71" customFormat="1" ht="15" customHeight="1">
      <x:c r="B97" s="10" t="n"/>
    </x:row>
    <x:row r="98" s="71" customFormat="1" ht="15" customHeight="1">
      <x:c r="B98" s="10" t="n"/>
    </x:row>
    <x:row r="99" s="71" customFormat="1" ht="15" customHeight="1">
      <x:c r="B99" s="10" t="n"/>
    </x:row>
    <x:row r="100" s="71" customFormat="1" ht="15" customHeight="1">
      <x:c r="B100" s="10" t="n"/>
    </x:row>
    <x:row r="101" s="71" customFormat="1" ht="15" customHeight="1">
      <x:c r="B101" s="10" t="n"/>
    </x:row>
    <x:row r="102" s="71" customFormat="1" ht="15" customHeight="1">
      <x:c r="B102" s="10" t="n"/>
    </x:row>
    <x:row r="103" s="71" customFormat="1" ht="15" customHeight="1">
      <x:c r="B103" s="10" t="n"/>
    </x:row>
    <x:row r="104" s="71" customFormat="1" ht="15" customHeight="1">
      <x:c r="B104" s="10" t="n"/>
    </x:row>
    <x:row r="105" s="71" customFormat="1" ht="15" customHeight="1">
      <x:c r="B105" s="10" t="n"/>
    </x:row>
    <x:row r="106" s="71" customFormat="1" ht="15" customHeight="1">
      <x:c r="B106" s="10" t="n"/>
    </x:row>
    <x:row r="107" s="71" customFormat="1" ht="15" customHeight="1">
      <x:c r="B107" s="15" t="inlineStr">
        <x:is>
          <x:t xml:space="preserve">Grand Total</x:t>
        </x:is>
      </x:c>
    </x:row>
    <x:row r="108" s="71" customFormat="1" ht="15" customHeight="1">
      <x:c r="B108" s="6" t="n"/>
    </x:row>
    <x:row r="109" s="71" customFormat="1" ht="15" customHeight="1">
      <x:c r="B109" s="6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4.44140625" defaultRowHeight="14.399999618530273"/>
  <x:cols>
    <x:col min="2" max="2" width="29" style="71" customWidth="1"/>
    <x:col min="3" max="3" width="22" style="71" customWidth="1"/>
    <x:col min="5" max="5" width="29.109375" style="71" customWidth="1"/>
  </x:cols>
  <x:sheetData>
    <x:row r="1">
      <x:c r="A1" s="42" t="inlineStr">
        <x:is>
          <x:t xml:space="preserve">Employee ID</x:t>
        </x:is>
      </x:c>
      <x:c r="B1" s="42" t="inlineStr">
        <x:is>
          <x:t xml:space="preserve">Employee Name</x:t>
        </x:is>
      </x:c>
      <x:c r="C1" s="43" t="inlineStr">
        <x:is>
          <x:t xml:space="preserve">RD OT (within first 8hrs)</x:t>
        </x:is>
      </x:c>
      <x:c r="D1" s="43" t="inlineStr">
        <x:is>
          <x:t xml:space="preserve">Regular OT</x:t>
        </x:is>
      </x:c>
      <x:c r="E1" s="43" t="inlineStr">
        <x:is>
          <x:t xml:space="preserve">Special Non Working Holiday OT</x:t>
        </x:is>
      </x:c>
      <x:c r="F1" s="7" t="inlineStr">
        <x:is>
          <x:t xml:space="preserve">Grand Total</x:t>
        </x:is>
      </x:c>
    </x:row>
    <x:row r="2">
      <x:c r="A2" s="5" t="inlineStr">
        <x:is>
          <x:t xml:space="preserve">01100240</x:t>
        </x:is>
      </x:c>
      <x:c r="B2" s="5" t="inlineStr">
        <x:is>
          <x:t xml:space="preserve">Abegail Mandras</x:t>
        </x:is>
      </x:c>
      <x:c r="C2" s="5" t="n">
        <x:v>0</x:v>
      </x:c>
      <x:c r="D2" s="5" t="n">
        <x:v>0</x:v>
      </x:c>
      <x:c r="E2" s="5" t="n">
        <x:v>0</x:v>
      </x:c>
      <x:c r="F2" s="12">
        <x:f>SUM(C2:E2)</x:f>
        <x:v>0</x:v>
      </x:c>
    </x:row>
    <x:row r="3">
      <x:c r="A3" s="5" t="inlineStr">
        <x:is>
          <x:t xml:space="preserve">01100277</x:t>
        </x:is>
      </x:c>
      <x:c r="B3" s="5" t="inlineStr">
        <x:is>
          <x:t xml:space="preserve">Adrian Lawat</x:t>
        </x:is>
      </x:c>
      <x:c r="C3" s="12" t="n">
        <x:v>0</x:v>
      </x:c>
      <x:c r="D3" s="5" t="n">
        <x:v>0</x:v>
      </x:c>
      <x:c r="E3" s="5" t="n">
        <x:v>0</x:v>
      </x:c>
      <x:c r="F3" s="12">
        <x:f>SUM(C3:E3)</x:f>
        <x:v>0</x:v>
      </x:c>
    </x:row>
    <x:row r="4">
      <x:c r="A4" s="5" t="inlineStr">
        <x:is>
          <x:t xml:space="preserve">02100100</x:t>
        </x:is>
      </x:c>
      <x:c r="B4" s="5" t="inlineStr">
        <x:is>
          <x:t xml:space="preserve">Aillen Joy Largo</x:t>
        </x:is>
      </x:c>
      <x:c r="C4" s="12" t="n">
        <x:v>0</x:v>
      </x:c>
      <x:c r="D4" s="5" t="n">
        <x:v>0</x:v>
      </x:c>
      <x:c r="E4" s="5" t="n">
        <x:v>0</x:v>
      </x:c>
      <x:c r="F4" s="12">
        <x:f>SUM(C4:E4)</x:f>
        <x:v>0</x:v>
      </x:c>
    </x:row>
    <x:row r="5">
      <x:c r="A5" s="5" t="inlineStr">
        <x:is>
          <x:t xml:space="preserve">01100328</x:t>
        </x:is>
      </x:c>
      <x:c r="B5" s="5" t="inlineStr">
        <x:is>
          <x:t xml:space="preserve">Al Mario Bahala</x:t>
        </x:is>
      </x:c>
      <x:c r="C5" s="12" t="n">
        <x:v>0</x:v>
      </x:c>
      <x:c r="D5" s="5" t="n">
        <x:v>0</x:v>
      </x:c>
      <x:c r="E5" s="5" t="n">
        <x:v>0</x:v>
      </x:c>
      <x:c r="F5" s="12">
        <x:f>SUM(C5:E5)</x:f>
        <x:v>0</x:v>
      </x:c>
    </x:row>
    <x:row r="6">
      <x:c r="A6" s="5" t="inlineStr">
        <x:is>
          <x:t xml:space="preserve">02100334</x:t>
        </x:is>
      </x:c>
      <x:c r="B6" s="5" t="inlineStr">
        <x:is>
          <x:t xml:space="preserve">Alvin Lozada</x:t>
        </x:is>
      </x:c>
      <x:c r="C6" s="12" t="n">
        <x:v>0</x:v>
      </x:c>
      <x:c r="D6" s="5" t="n">
        <x:v>0</x:v>
      </x:c>
      <x:c r="E6" s="5" t="n">
        <x:v>0</x:v>
      </x:c>
      <x:c r="F6" s="12">
        <x:f>SUM(C6:E6)</x:f>
        <x:v>0</x:v>
      </x:c>
    </x:row>
    <x:row r="7">
      <x:c r="A7" s="5" t="inlineStr">
        <x:is>
          <x:t xml:space="preserve">01100101</x:t>
        </x:is>
      </x:c>
      <x:c r="B7" s="5" t="inlineStr">
        <x:is>
          <x:t xml:space="preserve">Andrea Ceniza</x:t>
        </x:is>
      </x:c>
      <x:c r="C7" s="12" t="n">
        <x:v>0</x:v>
      </x:c>
      <x:c r="D7" s="5" t="n">
        <x:v>0</x:v>
      </x:c>
      <x:c r="E7" s="5" t="n">
        <x:v>0</x:v>
      </x:c>
      <x:c r="F7" s="12">
        <x:f>SUM(C7:E7)</x:f>
        <x:v>0</x:v>
      </x:c>
    </x:row>
    <x:row r="8">
      <x:c r="A8" s="5" t="inlineStr">
        <x:is>
          <x:t xml:space="preserve">02100103</x:t>
        </x:is>
      </x:c>
      <x:c r="B8" s="5" t="inlineStr">
        <x:is>
          <x:t xml:space="preserve">Angelica Paligsa</x:t>
        </x:is>
      </x:c>
      <x:c r="C8" s="12" t="n">
        <x:v>0</x:v>
      </x:c>
      <x:c r="D8" s="5" t="n">
        <x:v>0</x:v>
      </x:c>
      <x:c r="E8" s="5" t="n">
        <x:v>0</x:v>
      </x:c>
      <x:c r="F8" s="12">
        <x:f>SUM(C8:E8)</x:f>
        <x:v>0</x:v>
      </x:c>
    </x:row>
    <x:row r="9">
      <x:c r="A9" s="5" t="inlineStr">
        <x:is>
          <x:t xml:space="preserve">02100104</x:t>
        </x:is>
      </x:c>
      <x:c r="B9" s="5" t="inlineStr">
        <x:is>
          <x:t xml:space="preserve">Ann Lou Minguito</x:t>
        </x:is>
      </x:c>
      <x:c r="C9" s="12" t="n">
        <x:v>0</x:v>
      </x:c>
      <x:c r="D9" s="5" t="n">
        <x:v>0</x:v>
      </x:c>
      <x:c r="E9" s="5" t="n">
        <x:v>0</x:v>
      </x:c>
      <x:c r="F9" s="12">
        <x:f>SUM(C9:E9)</x:f>
        <x:v>0</x:v>
      </x:c>
    </x:row>
    <x:row r="10">
      <x:c r="A10" s="5" t="inlineStr">
        <x:is>
          <x:t xml:space="preserve">02200105</x:t>
        </x:is>
      </x:c>
      <x:c r="B10" s="5" t="inlineStr">
        <x:is>
          <x:t xml:space="preserve">Anna Marie Tabares</x:t>
        </x:is>
      </x:c>
      <x:c r="C10" s="12" t="n">
        <x:v>0</x:v>
      </x:c>
      <x:c r="D10" s="5" t="n">
        <x:v>0</x:v>
      </x:c>
      <x:c r="E10" s="5" t="n">
        <x:v>0</x:v>
      </x:c>
      <x:c r="F10" s="12">
        <x:f>SUM(C10:E10)</x:f>
        <x:v>0</x:v>
      </x:c>
    </x:row>
    <x:row r="11">
      <x:c r="A11" s="5" t="inlineStr">
        <x:is>
          <x:t xml:space="preserve">02100106</x:t>
        </x:is>
      </x:c>
      <x:c r="B11" s="5" t="inlineStr">
        <x:is>
          <x:t xml:space="preserve">Anna Mica Ella Punongbayan</x:t>
        </x:is>
      </x:c>
      <x:c r="C11" s="12" t="n">
        <x:v>0</x:v>
      </x:c>
      <x:c r="D11" s="5" t="n">
        <x:v>0</x:v>
      </x:c>
      <x:c r="E11" s="5" t="n">
        <x:v>0</x:v>
      </x:c>
      <x:c r="F11" s="12">
        <x:f>SUM(C11:E11)</x:f>
        <x:v>0</x:v>
      </x:c>
    </x:row>
    <x:row r="12">
      <x:c r="A12" s="5" t="inlineStr">
        <x:is>
          <x:t xml:space="preserve">02100227</x:t>
        </x:is>
      </x:c>
      <x:c r="B12" s="5" t="inlineStr">
        <x:is>
          <x:t xml:space="preserve">April Jane Elnar</x:t>
        </x:is>
      </x:c>
      <x:c r="C12" s="12" t="n">
        <x:v>0</x:v>
      </x:c>
      <x:c r="D12" s="5" t="n">
        <x:v>0</x:v>
      </x:c>
      <x:c r="E12" s="5" t="n">
        <x:v>0</x:v>
      </x:c>
      <x:c r="F12" s="12">
        <x:f>SUM(C12:E12)</x:f>
        <x:v>0</x:v>
      </x:c>
    </x:row>
    <x:row r="13">
      <x:c r="A13" s="5" t="inlineStr">
        <x:is>
          <x:t xml:space="preserve">02100194</x:t>
        </x:is>
      </x:c>
      <x:c r="B13" s="5" t="inlineStr">
        <x:is>
          <x:t xml:space="preserve">April Sanchez</x:t>
        </x:is>
      </x:c>
      <x:c r="C13" s="12" t="n">
        <x:v>0</x:v>
      </x:c>
      <x:c r="D13" s="5" t="n">
        <x:v>0</x:v>
      </x:c>
      <x:c r="E13" s="5" t="n">
        <x:v>0</x:v>
      </x:c>
      <x:c r="F13" s="12">
        <x:f>SUM(C13:E13)</x:f>
        <x:v>0</x:v>
      </x:c>
    </x:row>
    <x:row r="14">
      <x:c r="A14" s="5" t="inlineStr">
        <x:is>
          <x:t xml:space="preserve">01100218</x:t>
        </x:is>
      </x:c>
      <x:c r="B14" s="5" t="inlineStr">
        <x:is>
          <x:t xml:space="preserve">Aquilyn Dayan A. Adlit</x:t>
        </x:is>
      </x:c>
      <x:c r="C14" s="12" t="n">
        <x:v>0</x:v>
      </x:c>
      <x:c r="D14" s="5" t="n">
        <x:v>0</x:v>
      </x:c>
      <x:c r="E14" s="5" t="n">
        <x:v>0</x:v>
      </x:c>
      <x:c r="F14" s="12">
        <x:f>SUM(C14:E14)</x:f>
        <x:v>0</x:v>
      </x:c>
    </x:row>
    <x:row r="15">
      <x:c r="A15" s="5" t="inlineStr">
        <x:is>
          <x:t xml:space="preserve">02100327</x:t>
        </x:is>
      </x:c>
      <x:c r="B15" s="5" t="inlineStr">
        <x:is>
          <x:t xml:space="preserve">Ardeth James Ortega</x:t>
        </x:is>
      </x:c>
      <x:c r="C15" s="12" t="n">
        <x:v>0</x:v>
      </x:c>
      <x:c r="D15" s="5" t="n">
        <x:v>0</x:v>
      </x:c>
      <x:c r="E15" s="5" t="n">
        <x:v>0</x:v>
      </x:c>
      <x:c r="F15" s="12">
        <x:f>SUM(C15:E15)</x:f>
        <x:v>0</x:v>
      </x:c>
    </x:row>
    <x:row r="16">
      <x:c r="A16" s="5" t="inlineStr">
        <x:is>
          <x:t xml:space="preserve">02100107</x:t>
        </x:is>
      </x:c>
      <x:c r="B16" s="5" t="inlineStr">
        <x:is>
          <x:t xml:space="preserve">Brenda Mae T. Bacurnay</x:t>
        </x:is>
      </x:c>
      <x:c r="C16" s="12" t="n">
        <x:v>0</x:v>
      </x:c>
      <x:c r="D16" s="5" t="n">
        <x:v>0</x:v>
      </x:c>
      <x:c r="E16" s="5" t="n">
        <x:v>0</x:v>
      </x:c>
      <x:c r="F16" s="12">
        <x:f>SUM(C16:E16)</x:f>
        <x:v>0</x:v>
      </x:c>
    </x:row>
    <x:row r="17">
      <x:c r="A17" s="5" t="inlineStr">
        <x:is>
          <x:t xml:space="preserve">01100271</x:t>
        </x:is>
      </x:c>
      <x:c r="B17" s="5" t="inlineStr">
        <x:is>
          <x:t xml:space="preserve">Buenagen Bagundol</x:t>
        </x:is>
      </x:c>
      <x:c r="C17" s="12" t="n">
        <x:v>0</x:v>
      </x:c>
      <x:c r="D17" s="5" t="n">
        <x:v>0</x:v>
      </x:c>
      <x:c r="E17" s="5" t="n">
        <x:v>0</x:v>
      </x:c>
      <x:c r="F17" s="12">
        <x:f>SUM(C17:E17)</x:f>
        <x:v>0</x:v>
      </x:c>
    </x:row>
    <x:row r="18">
      <x:c r="A18" s="5" t="inlineStr">
        <x:is>
          <x:t xml:space="preserve">01100108</x:t>
        </x:is>
      </x:c>
      <x:c r="B18" s="5" t="inlineStr">
        <x:is>
          <x:t xml:space="preserve">Camela Torrate</x:t>
        </x:is>
      </x:c>
      <x:c r="C18" s="12" t="n">
        <x:v>0</x:v>
      </x:c>
      <x:c r="D18" s="5" t="n">
        <x:v>0</x:v>
      </x:c>
      <x:c r="E18" s="5" t="n">
        <x:v>0</x:v>
      </x:c>
      <x:c r="F18" s="12">
        <x:f>SUM(C18:E18)</x:f>
        <x:v>0</x:v>
      </x:c>
    </x:row>
    <x:row r="19">
      <x:c r="A19" s="5" t="inlineStr">
        <x:is>
          <x:t xml:space="preserve">02100109</x:t>
        </x:is>
      </x:c>
      <x:c r="B19" s="5" t="inlineStr">
        <x:is>
          <x:t xml:space="preserve">Candice Kate Velasco</x:t>
        </x:is>
      </x:c>
      <x:c r="C19" s="12" t="n">
        <x:v>0</x:v>
      </x:c>
      <x:c r="D19" s="5" t="n">
        <x:v>0</x:v>
      </x:c>
      <x:c r="E19" s="5" t="n">
        <x:v>0</x:v>
      </x:c>
      <x:c r="F19" s="12">
        <x:f>SUM(C19:E19)</x:f>
        <x:v>0</x:v>
      </x:c>
    </x:row>
    <x:row r="20">
      <x:c r="A20" s="5" t="inlineStr">
        <x:is>
          <x:t xml:space="preserve">02100294</x:t>
        </x:is>
      </x:c>
      <x:c r="B20" s="5" t="inlineStr">
        <x:is>
          <x:t xml:space="preserve">Carlo John Rubio</x:t>
        </x:is>
      </x:c>
      <x:c r="C20" s="12" t="n">
        <x:v>0</x:v>
      </x:c>
      <x:c r="D20" s="5" t="n">
        <x:v>0</x:v>
      </x:c>
      <x:c r="E20" s="5" t="n">
        <x:v>0</x:v>
      </x:c>
      <x:c r="F20" s="12">
        <x:f>SUM(C20:E20)</x:f>
        <x:v>0</x:v>
      </x:c>
    </x:row>
    <x:row r="21">
      <x:c r="A21" s="5" t="inlineStr">
        <x:is>
          <x:t xml:space="preserve">01100270</x:t>
        </x:is>
      </x:c>
      <x:c r="B21" s="5" t="inlineStr">
        <x:is>
          <x:t xml:space="preserve">Catherine Vergara</x:t>
        </x:is>
      </x:c>
      <x:c r="C21" s="12" t="n">
        <x:v>0</x:v>
      </x:c>
      <x:c r="D21" s="5" t="n">
        <x:v>0</x:v>
      </x:c>
      <x:c r="E21" s="5" t="n">
        <x:v>0</x:v>
      </x:c>
      <x:c r="F21" s="12">
        <x:f>SUM(C21:E21)</x:f>
        <x:v>0</x:v>
      </x:c>
    </x:row>
    <x:row r="22">
      <x:c r="A22" s="5" t="inlineStr">
        <x:is>
          <x:t xml:space="preserve">01100220</x:t>
        </x:is>
      </x:c>
      <x:c r="B22" s="5" t="inlineStr">
        <x:is>
          <x:t xml:space="preserve">Christian Pagobo</x:t>
        </x:is>
      </x:c>
      <x:c r="C22" s="12" t="n">
        <x:v>0</x:v>
      </x:c>
      <x:c r="D22" s="5" t="n">
        <x:v>0</x:v>
      </x:c>
      <x:c r="E22" s="5" t="n">
        <x:v>0</x:v>
      </x:c>
      <x:c r="F22" s="12">
        <x:f>SUM(C22:E22)</x:f>
        <x:v>0</x:v>
      </x:c>
    </x:row>
    <x:row r="23">
      <x:c r="A23" s="5" t="inlineStr">
        <x:is>
          <x:t xml:space="preserve">01100112</x:t>
        </x:is>
      </x:c>
      <x:c r="B23" s="5" t="inlineStr">
        <x:is>
          <x:t xml:space="preserve">Crislyn Cuizon</x:t>
        </x:is>
      </x:c>
      <x:c r="C23" s="12" t="n">
        <x:v>0</x:v>
      </x:c>
      <x:c r="D23" s="5" t="n">
        <x:v>0</x:v>
      </x:c>
      <x:c r="E23" s="5" t="n">
        <x:v>0</x:v>
      </x:c>
      <x:c r="F23" s="12">
        <x:f>SUM(C23:E23)</x:f>
        <x:v>0</x:v>
      </x:c>
    </x:row>
    <x:row r="24">
      <x:c r="A24" s="5" t="inlineStr">
        <x:is>
          <x:t xml:space="preserve">01100329</x:t>
        </x:is>
      </x:c>
      <x:c r="B24" s="5" t="inlineStr">
        <x:is>
          <x:t xml:space="preserve">Cyriline Vergara</x:t>
        </x:is>
      </x:c>
      <x:c r="C24" s="12" t="n">
        <x:v>0</x:v>
      </x:c>
      <x:c r="D24" s="5" t="n">
        <x:v>0</x:v>
      </x:c>
      <x:c r="E24" s="5" t="n">
        <x:v>0</x:v>
      </x:c>
      <x:c r="F24" s="12">
        <x:f>SUM(C24:E24)</x:f>
        <x:v>0</x:v>
      </x:c>
    </x:row>
    <x:row r="25">
      <x:c r="A25" s="5" t="inlineStr">
        <x:is>
          <x:t xml:space="preserve">01100113</x:t>
        </x:is>
      </x:c>
      <x:c r="B25" s="5" t="inlineStr">
        <x:is>
          <x:t xml:space="preserve">Demie Marie Medalle</x:t>
        </x:is>
      </x:c>
      <x:c r="C25" s="12" t="n">
        <x:v>0</x:v>
      </x:c>
      <x:c r="D25" s="5" t="n">
        <x:v>0</x:v>
      </x:c>
      <x:c r="E25" s="5" t="n">
        <x:v>0</x:v>
      </x:c>
      <x:c r="F25" s="12">
        <x:f>SUM(C25:E25)</x:f>
        <x:v>0</x:v>
      </x:c>
    </x:row>
    <x:row r="26">
      <x:c r="A26" s="5" t="inlineStr">
        <x:is>
          <x:t xml:space="preserve">01100115</x:t>
        </x:is>
      </x:c>
      <x:c r="B26" s="5" t="inlineStr">
        <x:is>
          <x:t xml:space="preserve">Dharlene G. Bendanillo</x:t>
        </x:is>
      </x:c>
      <x:c r="C26" s="12" t="n">
        <x:v>0</x:v>
      </x:c>
      <x:c r="D26" s="5" t="n">
        <x:v>0</x:v>
      </x:c>
      <x:c r="E26" s="12" t="n">
        <x:v>0</x:v>
      </x:c>
      <x:c r="F26" s="12">
        <x:f>SUM(C26:E26)</x:f>
        <x:v>0</x:v>
      </x:c>
    </x:row>
    <x:row r="27">
      <x:c r="A27" s="5" t="inlineStr">
        <x:is>
          <x:t xml:space="preserve">01100116</x:t>
        </x:is>
      </x:c>
      <x:c r="B27" s="5" t="inlineStr">
        <x:is>
          <x:t xml:space="preserve">Donald Bacanaya</x:t>
        </x:is>
      </x:c>
      <x:c r="C27" s="12" t="n">
        <x:v>0</x:v>
      </x:c>
      <x:c r="D27" s="5" t="n">
        <x:v>0</x:v>
      </x:c>
      <x:c r="E27" s="12" t="n">
        <x:v>0</x:v>
      </x:c>
      <x:c r="F27" s="12">
        <x:f>SUM(C27:E27)</x:f>
        <x:v>0</x:v>
      </x:c>
    </x:row>
    <x:row r="28">
      <x:c r="A28" s="5" t="inlineStr">
        <x:is>
          <x:t xml:space="preserve">01100253</x:t>
        </x:is>
      </x:c>
      <x:c r="B28" s="5" t="inlineStr">
        <x:is>
          <x:t xml:space="preserve">Ericka Dorreen Amores - Abejero</x:t>
        </x:is>
      </x:c>
      <x:c r="C28" s="12" t="n">
        <x:v>0</x:v>
      </x:c>
      <x:c r="D28" s="5" t="n">
        <x:v>0</x:v>
      </x:c>
      <x:c r="E28" s="12" t="n">
        <x:v>0</x:v>
      </x:c>
      <x:c r="F28" s="12">
        <x:f>SUM(C28:E28)</x:f>
        <x:v>0</x:v>
      </x:c>
    </x:row>
    <x:row r="29">
      <x:c r="A29" s="5" t="inlineStr">
        <x:is>
          <x:t xml:space="preserve">02100117</x:t>
        </x:is>
      </x:c>
      <x:c r="B29" s="5" t="inlineStr">
        <x:is>
          <x:t xml:space="preserve">Ernesto F. Roquin Jr.</x:t>
        </x:is>
      </x:c>
      <x:c r="C29" s="12" t="n">
        <x:v>0</x:v>
      </x:c>
      <x:c r="D29" s="5" t="n">
        <x:v>0</x:v>
      </x:c>
      <x:c r="E29" s="12" t="n">
        <x:v>0</x:v>
      </x:c>
      <x:c r="F29" s="12">
        <x:f>SUM(C29:E29)</x:f>
        <x:v>0</x:v>
      </x:c>
    </x:row>
    <x:row r="30">
      <x:c r="A30" s="5" t="inlineStr">
        <x:is>
          <x:t xml:space="preserve">01100118</x:t>
        </x:is>
      </x:c>
      <x:c r="B30" s="5" t="inlineStr">
        <x:is>
          <x:t xml:space="preserve">Fame Diez</x:t>
        </x:is>
      </x:c>
      <x:c r="C30" s="12" t="n">
        <x:v>0</x:v>
      </x:c>
      <x:c r="D30" s="5" t="n">
        <x:v>0</x:v>
      </x:c>
      <x:c r="E30" s="12" t="n">
        <x:v>0</x:v>
      </x:c>
      <x:c r="F30" s="12">
        <x:f>SUM(C30:E30)</x:f>
        <x:v>0</x:v>
      </x:c>
    </x:row>
    <x:row r="31">
      <x:c r="A31" s="5" t="inlineStr">
        <x:is>
          <x:t xml:space="preserve">01100221</x:t>
        </x:is>
      </x:c>
      <x:c r="B31" s="5" t="inlineStr">
        <x:is>
          <x:t xml:space="preserve">Farrah Jean Vildosola</x:t>
        </x:is>
      </x:c>
      <x:c r="C31" s="12" t="n">
        <x:v>0</x:v>
      </x:c>
      <x:c r="D31" s="5" t="n">
        <x:v>0</x:v>
      </x:c>
      <x:c r="E31" s="12" t="n">
        <x:v>0</x:v>
      </x:c>
      <x:c r="F31" s="12">
        <x:f>SUM(C31:E31)</x:f>
        <x:v>0</x:v>
      </x:c>
    </x:row>
    <x:row r="32">
      <x:c r="A32" s="5" t="inlineStr">
        <x:is>
          <x:t xml:space="preserve">02100119</x:t>
        </x:is>
      </x:c>
      <x:c r="B32" s="5" t="inlineStr">
        <x:is>
          <x:t xml:space="preserve">Ferreh Jane Vilos</x:t>
        </x:is>
      </x:c>
      <x:c r="C32" s="12" t="n">
        <x:v>0</x:v>
      </x:c>
      <x:c r="D32" s="5" t="n">
        <x:v>0</x:v>
      </x:c>
      <x:c r="E32" s="12" t="n">
        <x:v>0</x:v>
      </x:c>
      <x:c r="F32" s="12">
        <x:f>SUM(C32:E32)</x:f>
        <x:v>0</x:v>
      </x:c>
    </x:row>
    <x:row r="33">
      <x:c r="A33" s="5" t="inlineStr">
        <x:is>
          <x:t xml:space="preserve">02100120</x:t>
        </x:is>
      </x:c>
      <x:c r="B33" s="5" t="inlineStr">
        <x:is>
          <x:t xml:space="preserve">Flint Kaynon Balmadres</x:t>
        </x:is>
      </x:c>
      <x:c r="C33" s="12" t="n">
        <x:v>0</x:v>
      </x:c>
      <x:c r="D33" s="5" t="n">
        <x:v>0</x:v>
      </x:c>
      <x:c r="E33" s="12" t="n">
        <x:v>0</x:v>
      </x:c>
      <x:c r="F33" s="12">
        <x:f>SUM(C33:E33)</x:f>
        <x:v>0</x:v>
      </x:c>
    </x:row>
    <x:row r="34">
      <x:c r="A34" s="5" t="inlineStr">
        <x:is>
          <x:t xml:space="preserve">01100217</x:t>
        </x:is>
      </x:c>
      <x:c r="B34" s="5" t="inlineStr">
        <x:is>
          <x:t xml:space="preserve">Franklyn Jay Talisic</x:t>
        </x:is>
      </x:c>
      <x:c r="C34" s="12" t="n">
        <x:v>0</x:v>
      </x:c>
      <x:c r="D34" s="5" t="n">
        <x:v>0</x:v>
      </x:c>
      <x:c r="E34" s="12" t="n">
        <x:v>0</x:v>
      </x:c>
      <x:c r="F34" s="12">
        <x:f>SUM(C34:E34)</x:f>
        <x:v>0</x:v>
      </x:c>
    </x:row>
    <x:row r="35">
      <x:c r="A35" s="5" t="inlineStr">
        <x:is>
          <x:t xml:space="preserve">02100121</x:t>
        </x:is>
      </x:c>
      <x:c r="B35" s="5" t="inlineStr">
        <x:is>
          <x:t xml:space="preserve">Fritzyl D. Lorico</x:t>
        </x:is>
      </x:c>
      <x:c r="C35" s="12" t="n">
        <x:v>0</x:v>
      </x:c>
      <x:c r="D35" s="5" t="n">
        <x:v>0</x:v>
      </x:c>
      <x:c r="E35" s="12" t="n">
        <x:v>0</x:v>
      </x:c>
      <x:c r="F35" s="12">
        <x:f>SUM(C35:E35)</x:f>
        <x:v>0</x:v>
      </x:c>
    </x:row>
    <x:row r="36">
      <x:c r="A36" s="5" t="inlineStr">
        <x:is>
          <x:t xml:space="preserve">02100295</x:t>
        </x:is>
      </x:c>
      <x:c r="B36" s="5" t="inlineStr">
        <x:is>
          <x:t xml:space="preserve">Genil Silva</x:t>
        </x:is>
      </x:c>
      <x:c r="C36" s="12" t="n">
        <x:v>0</x:v>
      </x:c>
      <x:c r="D36" s="5" t="n">
        <x:v>0</x:v>
      </x:c>
      <x:c r="E36" s="12" t="n">
        <x:v>0</x:v>
      </x:c>
      <x:c r="F36" s="12">
        <x:f>SUM(C36:E36)</x:f>
        <x:v>0</x:v>
      </x:c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</x:row>
    <x:row r="37">
      <x:c r="A37" s="5" t="inlineStr">
        <x:is>
          <x:t xml:space="preserve">01100123</x:t>
        </x:is>
      </x:c>
      <x:c r="B37" s="5" t="inlineStr">
        <x:is>
          <x:t xml:space="preserve">Gerra Rose Fajardo</x:t>
        </x:is>
      </x:c>
      <x:c r="C37" s="12" t="n">
        <x:v>0</x:v>
      </x:c>
      <x:c r="D37" s="5" t="n">
        <x:v>0</x:v>
      </x:c>
      <x:c r="E37" s="12" t="n">
        <x:v>0</x:v>
      </x:c>
      <x:c r="F37" s="12">
        <x:f>SUM(C37:E37)</x:f>
        <x:v>0</x:v>
      </x:c>
      <x:c r="G37" s="21" t="n"/>
      <x:c r="H37" s="6" t="n"/>
      <x:c r="I37" s="20" t="n"/>
      <x:c r="J37" s="6" t="n"/>
      <x:c r="K37" s="21" t="n"/>
      <x:c r="L37" s="6" t="n"/>
      <x:c r="M37" s="6" t="n"/>
      <x:c r="N37" s="6" t="n"/>
      <x:c r="O37" s="6" t="n"/>
      <x:c r="P37" s="6" t="n"/>
      <x:c r="Q37" s="6" t="n"/>
      <x:c r="R37" s="6" t="n"/>
    </x:row>
    <x:row r="38">
      <x:c r="A38" s="5" t="inlineStr">
        <x:is>
          <x:t xml:space="preserve">01100222</x:t>
        </x:is>
      </x:c>
      <x:c r="B38" s="5" t="inlineStr">
        <x:is>
          <x:t xml:space="preserve">Glenn Oplado</x:t>
        </x:is>
      </x:c>
      <x:c r="C38" s="12" t="n">
        <x:v>0</x:v>
      </x:c>
      <x:c r="D38" s="5" t="n">
        <x:v>0</x:v>
      </x:c>
      <x:c r="E38" s="12" t="n">
        <x:v>0</x:v>
      </x:c>
      <x:c r="F38" s="12">
        <x:f>SUM(C38:E38)</x:f>
        <x:v>0</x:v>
      </x:c>
      <x:c r="G38" s="21" t="n"/>
      <x:c r="H38" s="6" t="n"/>
      <x:c r="I38" s="20" t="n"/>
      <x:c r="J38" s="6" t="n"/>
      <x:c r="K38" s="21" t="n"/>
      <x:c r="L38" s="6" t="n"/>
      <x:c r="M38" s="6" t="n"/>
      <x:c r="N38" s="6" t="n"/>
      <x:c r="O38" s="6" t="n"/>
      <x:c r="P38" s="6" t="n"/>
      <x:c r="Q38" s="6" t="n"/>
      <x:c r="R38" s="6" t="n"/>
    </x:row>
    <x:row r="39">
      <x:c r="A39" s="5" t="n"/>
      <x:c r="B39" s="5" t="n"/>
      <x:c r="C39" s="44">
        <x:f>SUM(C2:C38)</x:f>
        <x:v>0</x:v>
      </x:c>
      <x:c r="D39" s="5" t="n"/>
      <x:c r="E39" s="44">
        <x:f>SUM(E2:E38)</x:f>
        <x:v>0</x:v>
      </x:c>
      <x:c r="F39" s="44">
        <x:f>SUM(F2:F38)</x:f>
        <x:v>0</x:v>
      </x:c>
      <x:c r="G39" s="21" t="n"/>
      <x:c r="H39" s="6" t="n"/>
      <x:c r="I39" s="20" t="n"/>
      <x:c r="J39" s="6" t="n"/>
      <x:c r="K39" s="21" t="n"/>
      <x:c r="L39" s="6" t="n"/>
      <x:c r="M39" s="6" t="n"/>
      <x:c r="N39" s="6" t="n"/>
      <x:c r="O39" s="6" t="n"/>
      <x:c r="P39" s="6" t="n"/>
      <x:c r="Q39" s="6" t="n"/>
      <x:c r="R39" s="6" t="n"/>
    </x:row>
    <x:row r="40">
      <x:c r="B40" s="5" t="n"/>
      <x:c r="C40" s="22" t="n"/>
      <x:c r="D40" s="6" t="n"/>
      <x:c r="E40" s="72" t="n"/>
      <x:c r="G40" s="21" t="n"/>
      <x:c r="H40" s="6" t="n"/>
      <x:c r="I40" s="20" t="n"/>
      <x:c r="J40" s="6" t="n"/>
      <x:c r="K40" s="21" t="n"/>
      <x:c r="L40" s="6" t="n"/>
      <x:c r="M40" s="6" t="n"/>
      <x:c r="N40" s="6" t="n"/>
      <x:c r="O40" s="6" t="n"/>
      <x:c r="P40" s="6" t="n"/>
      <x:c r="Q40" s="6" t="n"/>
      <x:c r="R40" s="6" t="n"/>
    </x:row>
    <x:row r="41">
      <x:c r="B41" s="6" t="n"/>
      <x:c r="C41" s="22" t="n"/>
      <x:c r="D41" s="6" t="n"/>
      <x:c r="E41" s="72" t="n"/>
      <x:c r="G41" s="21" t="n"/>
      <x:c r="H41" s="6" t="n"/>
      <x:c r="I41" s="20" t="n"/>
      <x:c r="J41" s="6" t="n"/>
      <x:c r="K41" s="21" t="n"/>
      <x:c r="L41" s="6" t="n"/>
      <x:c r="M41" s="6" t="n"/>
      <x:c r="N41" s="6" t="n"/>
      <x:c r="O41" s="6" t="n"/>
      <x:c r="P41" s="6" t="n"/>
      <x:c r="Q41" s="6" t="n"/>
      <x:c r="R41" s="6" t="n"/>
    </x:row>
    <x:row r="42">
      <x:c r="B42" s="6" t="n"/>
      <x:c r="C42" s="22" t="n"/>
      <x:c r="D42" s="6" t="n"/>
      <x:c r="E42" s="6" t="n"/>
      <x:c r="F42" s="6" t="n"/>
      <x:c r="G42" s="6" t="n"/>
      <x:c r="H42" s="6" t="n"/>
      <x:c r="I42" s="20" t="n"/>
      <x:c r="J42" s="6" t="n"/>
      <x:c r="K42" s="21" t="n"/>
      <x:c r="L42" s="6" t="n"/>
      <x:c r="M42" s="6" t="n"/>
      <x:c r="N42" s="6" t="n"/>
      <x:c r="O42" s="6" t="n"/>
      <x:c r="P42" s="6" t="n"/>
      <x:c r="Q42" s="6" t="n"/>
      <x:c r="R42" s="6" t="n"/>
    </x:row>
    <x:row r="43">
      <x:c r="B43" s="6" t="n"/>
      <x:c r="C43" s="22" t="n"/>
      <x:c r="D43" s="6" t="n"/>
      <x:c r="E43" s="72" t="n"/>
      <x:c r="G43" s="21" t="n"/>
      <x:c r="H43" s="6" t="n"/>
      <x:c r="I43" s="20" t="n"/>
      <x:c r="J43" s="6" t="n"/>
      <x:c r="K43" s="21" t="n"/>
      <x:c r="L43" s="6" t="n"/>
      <x:c r="M43" s="6" t="n"/>
      <x:c r="N43" s="6" t="n"/>
      <x:c r="O43" s="6" t="n"/>
      <x:c r="P43" s="6" t="n"/>
      <x:c r="Q43" s="6" t="n"/>
      <x:c r="R43" s="6" t="n"/>
    </x:row>
  </x:sheetData>
  <x:mergeCells>
    <x:mergeCell ref="E43:F43"/>
    <x:mergeCell ref="E40:F40"/>
    <x:mergeCell ref="E41:F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4.44140625" defaultRowHeight="14.399999618530273"/>
  <x:cols>
    <x:col min="1" max="1" width="34" style="71" customWidth="1"/>
    <x:col min="2" max="2" width="15.88671875" style="71" customWidth="1"/>
    <x:col min="3" max="3" width="7.5546875" style="71" customWidth="1"/>
    <x:col min="4" max="4" width="5.109375" style="71" customWidth="1"/>
    <x:col min="5" max="5" width="11.88671875" style="71" customWidth="1"/>
    <x:col min="6" max="6" width="9.44140625" style="71" customWidth="1"/>
    <x:col min="7" max="25" width="9.109375" style="71" customWidth="1"/>
  </x:cols>
  <x:sheetData>
    <x:row r="1" s="71" customFormat="1" ht="12" customHeight="1">
      <x:c r="A1" s="24" t="inlineStr">
        <x:is>
          <x:t xml:space="preserve">TGS BPO</x:t>
        </x:is>
      </x:c>
      <x:c r="B1" s="25" t="n"/>
      <x:c r="C1" s="25" t="n"/>
      <x:c r="D1" s="25" t="n"/>
      <x:c r="E1" s="80" t="n"/>
      <x:c r="F1" s="9" t="n"/>
      <x:c r="G1" s="9" t="n"/>
      <x:c r="H1" s="9" t="n"/>
      <x:c r="I1" s="9" t="n"/>
      <x:c r="J1" s="9" t="n"/>
      <x:c r="K1" s="9" t="n"/>
      <x:c r="L1" s="9" t="n"/>
      <x:c r="M1" s="9" t="n"/>
      <x:c r="N1" s="9" t="n"/>
      <x:c r="O1" s="9" t="n"/>
      <x:c r="P1" s="9" t="n"/>
      <x:c r="Q1" s="9" t="n"/>
      <x:c r="R1" s="9" t="n"/>
      <x:c r="S1" s="9" t="n"/>
      <x:c r="T1" s="9" t="n"/>
      <x:c r="U1" s="9" t="n"/>
      <x:c r="V1" s="9" t="n"/>
      <x:c r="W1" s="9" t="n"/>
      <x:c r="X1" s="9" t="n"/>
      <x:c r="Y1" s="9" t="n"/>
      <x:c r="Z1" s="9" t="n"/>
    </x:row>
    <x:row r="2" s="71" customFormat="1" ht="12" customHeight="1">
      <x:c r="A2" s="27" t="e">
        <x:f>#REF!</x:f>
      </x:c>
      <x:c r="B2" s="27" t="inlineStr">
        <x:is>
          <x:t xml:space="preserve">Official Role:</x:t>
        </x:is>
      </x:c>
      <x:c r="C2" s="28" t="e">
        <x:f>VLOOKUP(A3,#REF!,4,0)</x:f>
      </x:c>
      <x:c r="D2" s="28" t="n"/>
      <x:c r="E2" s="81" t="n"/>
      <x:c r="F2" s="9" t="n"/>
      <x:c r="G2" s="9" t="n"/>
      <x:c r="H2" s="9" t="n"/>
      <x:c r="I2" s="9" t="n"/>
      <x:c r="J2" s="9" t="n"/>
      <x:c r="K2" s="9" t="n"/>
      <x:c r="L2" s="9" t="n"/>
      <x:c r="M2" s="9" t="n"/>
      <x:c r="N2" s="9" t="n"/>
      <x:c r="O2" s="9" t="n"/>
      <x:c r="P2" s="9" t="n"/>
      <x:c r="Q2" s="9" t="n"/>
      <x:c r="R2" s="9" t="n"/>
      <x:c r="S2" s="9" t="n"/>
      <x:c r="T2" s="9" t="n"/>
      <x:c r="U2" s="9" t="n"/>
      <x:c r="V2" s="9" t="n"/>
      <x:c r="W2" s="9" t="n"/>
      <x:c r="X2" s="9" t="n"/>
      <x:c r="Y2" s="9" t="n"/>
      <x:c r="Z2" s="9" t="n"/>
    </x:row>
    <x:row r="3" s="71" customFormat="1" ht="12" customHeight="1">
      <x:c r="A3" s="30" t="inlineStr">
        <x:is>
          <x:t xml:space="preserve">Yendy Christian Sevilla </x:t>
        </x:is>
      </x:c>
      <x:c r="B3" s="24" t="inlineStr">
        <x:is>
          <x:t xml:space="preserve">Site Location:</x:t>
        </x:is>
      </x:c>
      <x:c r="C3" s="31" t="e">
        <x:f>VLOOKUP(A3,#REF!,3,0)</x:f>
      </x:c>
      <x:c r="D3" s="9" t="n"/>
      <x:c r="E3" s="82" t="n"/>
      <x:c r="F3" s="9" t="n"/>
      <x:c r="G3" s="9" t="n"/>
      <x:c r="H3" s="9" t="n"/>
      <x:c r="I3" s="9" t="n"/>
      <x:c r="J3" s="9" t="n"/>
      <x:c r="K3" s="9" t="n"/>
      <x:c r="L3" s="9" t="n"/>
      <x:c r="M3" s="9" t="n"/>
      <x:c r="N3" s="9" t="n"/>
      <x:c r="O3" s="9" t="n"/>
      <x:c r="P3" s="9" t="n"/>
      <x:c r="Q3" s="9" t="n"/>
      <x:c r="R3" s="9" t="n"/>
      <x:c r="S3" s="9" t="n"/>
      <x:c r="T3" s="9" t="n"/>
      <x:c r="U3" s="9" t="n"/>
      <x:c r="V3" s="9" t="n"/>
      <x:c r="W3" s="9" t="n"/>
      <x:c r="X3" s="9" t="n"/>
      <x:c r="Y3" s="9" t="n"/>
      <x:c r="Z3" s="9" t="n"/>
    </x:row>
    <x:row r="4" s="71" customFormat="1" ht="12" customHeight="1">
      <x:c r="A4" s="33" t="n"/>
      <x:c r="B4" s="33" t="inlineStr">
        <x:is>
          <x:t xml:space="preserve">Basic Hourly Rate:</x:t>
        </x:is>
      </x:c>
      <x:c r="C4" s="83" t="e">
        <x:f>VLOOKUP(A3,#REF!,13,0)</x:f>
      </x:c>
      <x:c r="D4" s="33" t="n"/>
      <x:c r="E4" s="33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  <x:c r="O4" s="1" t="n"/>
      <x:c r="P4" s="1" t="n"/>
      <x:c r="Q4" s="1" t="n"/>
      <x:c r="R4" s="1" t="n"/>
      <x:c r="S4" s="1" t="n"/>
      <x:c r="T4" s="1" t="n"/>
      <x:c r="U4" s="1" t="n"/>
      <x:c r="V4" s="1" t="n"/>
      <x:c r="W4" s="1" t="n"/>
      <x:c r="X4" s="1" t="n"/>
      <x:c r="Y4" s="1" t="n"/>
      <x:c r="Z4" s="1" t="n"/>
    </x:row>
    <x:row r="5" s="71" customFormat="1" ht="12" customHeight="1">
      <x:c r="A5" s="24" t="n"/>
      <x:c r="B5" s="9" t="n"/>
      <x:c r="C5" s="9" t="n"/>
      <x:c r="D5" s="9" t="n"/>
      <x:c r="E5" s="82" t="n"/>
      <x:c r="F5" s="9" t="n"/>
      <x:c r="G5" s="9" t="n"/>
      <x:c r="H5" s="9" t="n"/>
      <x:c r="I5" s="9" t="n"/>
      <x:c r="J5" s="9" t="n"/>
      <x:c r="K5" s="9" t="n"/>
      <x:c r="L5" s="9" t="n"/>
      <x:c r="M5" s="9" t="n"/>
      <x:c r="N5" s="9" t="n"/>
      <x:c r="O5" s="9" t="n"/>
      <x:c r="P5" s="9" t="n"/>
      <x:c r="Q5" s="9" t="n"/>
      <x:c r="R5" s="9" t="n"/>
      <x:c r="S5" s="9" t="n"/>
      <x:c r="T5" s="9" t="n"/>
      <x:c r="U5" s="9" t="n"/>
      <x:c r="V5" s="9" t="n"/>
      <x:c r="W5" s="9" t="n"/>
      <x:c r="X5" s="9" t="n"/>
      <x:c r="Y5" s="9" t="n"/>
      <x:c r="Z5" s="9" t="n"/>
    </x:row>
    <x:row r="6" s="71" customFormat="1" ht="12" customHeight="1">
      <x:c r="A6" s="24" t="inlineStr">
        <x:is>
          <x:t xml:space="preserve">Basic Salary</x:t>
        </x:is>
      </x:c>
      <x:c r="B6" s="84" t="e">
        <x:f>VLOOKUP(A3,#REF!,17,0)</x:f>
      </x:c>
      <x:c r="C6" s="9" t="inlineStr">
        <x:is>
          <x:t xml:space="preserve">hrs</x:t>
        </x:is>
      </x:c>
      <x:c r="D6" s="24" t="inlineStr">
        <x:is>
          <x:t xml:space="preserve">Php</x:t>
        </x:is>
      </x:c>
      <x:c r="E6" s="31" t="e">
        <x:f>VLOOKUP(A3,#REF!,18,0)</x:f>
      </x:c>
      <x:c r="F6" s="9" t="n"/>
      <x:c r="G6" s="9" t="n"/>
      <x:c r="H6" s="9" t="n"/>
      <x:c r="I6" s="9" t="n"/>
      <x:c r="J6" s="9" t="n"/>
      <x:c r="K6" s="9" t="n"/>
      <x:c r="L6" s="9" t="n"/>
      <x:c r="M6" s="9" t="n"/>
      <x:c r="N6" s="9" t="n"/>
      <x:c r="O6" s="9" t="n"/>
      <x:c r="P6" s="9" t="n"/>
      <x:c r="Q6" s="9" t="n"/>
      <x:c r="R6" s="9" t="n"/>
      <x:c r="S6" s="9" t="n"/>
      <x:c r="T6" s="9" t="n"/>
      <x:c r="U6" s="9" t="n"/>
      <x:c r="V6" s="9" t="n"/>
      <x:c r="W6" s="9" t="n"/>
      <x:c r="X6" s="9" t="n"/>
      <x:c r="Y6" s="9" t="n"/>
      <x:c r="Z6" s="9" t="n"/>
    </x:row>
    <x:row r="7" s="71" customFormat="1" ht="12" customHeight="1">
      <x:c r="A7" s="24" t="inlineStr">
        <x:is>
          <x:t xml:space="preserve">SIL</x:t>
        </x:is>
      </x:c>
      <x:c r="B7" s="84" t="e">
        <x:f>VLOOKUP(A3,#REF!,20,0)</x:f>
      </x:c>
      <x:c r="C7" s="9" t="inlineStr">
        <x:is>
          <x:t xml:space="preserve">hrs</x:t>
        </x:is>
      </x:c>
      <x:c r="D7" s="24" t="n"/>
      <x:c r="E7" s="31" t="e">
        <x:f>VLOOKUP(A3,#REF!,21,0)</x:f>
      </x:c>
      <x:c r="F7" s="9" t="n"/>
      <x:c r="G7" s="9" t="n"/>
      <x:c r="H7" s="9" t="n"/>
      <x:c r="I7" s="9" t="n"/>
      <x:c r="J7" s="9" t="n"/>
      <x:c r="K7" s="9" t="n"/>
      <x:c r="L7" s="9" t="n"/>
      <x:c r="M7" s="9" t="n"/>
      <x:c r="N7" s="9" t="n"/>
      <x:c r="O7" s="9" t="n"/>
      <x:c r="P7" s="9" t="n"/>
      <x:c r="Q7" s="9" t="n"/>
      <x:c r="R7" s="9" t="n"/>
      <x:c r="S7" s="9" t="n"/>
      <x:c r="T7" s="9" t="n"/>
      <x:c r="U7" s="9" t="n"/>
      <x:c r="V7" s="9" t="n"/>
      <x:c r="W7" s="9" t="n"/>
      <x:c r="X7" s="9" t="n"/>
      <x:c r="Y7" s="9" t="n"/>
      <x:c r="Z7" s="9" t="n"/>
    </x:row>
    <x:row r="8" s="71" customFormat="1" ht="12" customHeight="1">
      <x:c r="A8" s="24" t="inlineStr">
        <x:is>
          <x:t xml:space="preserve">Solo Parent/VAWC</x:t>
        </x:is>
      </x:c>
      <x:c r="B8" s="84" t="e">
        <x:f>VLOOKUP(A3,#REF!,26,0)</x:f>
      </x:c>
      <x:c r="C8" s="9" t="inlineStr">
        <x:is>
          <x:t xml:space="preserve">hrs</x:t>
        </x:is>
      </x:c>
      <x:c r="D8" s="24" t="n"/>
      <x:c r="E8" s="31" t="e">
        <x:f>VLOOKUP(A3,#REF!,27,0)</x:f>
      </x:c>
      <x:c r="F8" s="9" t="n"/>
      <x:c r="G8" s="9" t="n"/>
      <x:c r="H8" s="9" t="n"/>
      <x:c r="I8" s="9" t="n"/>
      <x:c r="J8" s="9" t="n"/>
      <x:c r="K8" s="9" t="n"/>
      <x:c r="L8" s="9" t="n"/>
      <x:c r="M8" s="9" t="n"/>
      <x:c r="N8" s="9" t="n"/>
      <x:c r="O8" s="9" t="n"/>
      <x:c r="P8" s="9" t="n"/>
      <x:c r="Q8" s="9" t="n"/>
      <x:c r="R8" s="9" t="n"/>
      <x:c r="S8" s="9" t="n"/>
      <x:c r="T8" s="9" t="n"/>
      <x:c r="U8" s="9" t="n"/>
      <x:c r="V8" s="9" t="n"/>
      <x:c r="W8" s="9" t="n"/>
      <x:c r="X8" s="9" t="n"/>
      <x:c r="Y8" s="9" t="n"/>
      <x:c r="Z8" s="9" t="n"/>
    </x:row>
    <x:row r="9" s="71" customFormat="1" ht="12" customHeight="1">
      <x:c r="A9" s="24" t="inlineStr">
        <x:is>
          <x:t xml:space="preserve">Other Leaves(Maternity, Paternity and others)</x:t>
        </x:is>
      </x:c>
      <x:c r="B9" s="8" t="e">
        <x:f>VLOOKUP(A3,#REF!,28,0)</x:f>
      </x:c>
      <x:c r="C9" s="9" t="inlineStr">
        <x:is>
          <x:t xml:space="preserve">hrs</x:t>
        </x:is>
      </x:c>
      <x:c r="D9" s="24" t="n"/>
      <x:c r="E9" s="31" t="e">
        <x:f>VLOOKUP(A3,#REF!,29,0)</x:f>
      </x:c>
      <x:c r="F9" s="9" t="n"/>
      <x:c r="G9" s="9" t="n"/>
      <x:c r="H9" s="9" t="n"/>
      <x:c r="I9" s="9" t="n"/>
      <x:c r="J9" s="9" t="n"/>
      <x:c r="K9" s="9" t="n"/>
      <x:c r="L9" s="9" t="n"/>
      <x:c r="M9" s="9" t="n"/>
      <x:c r="N9" s="9" t="n"/>
      <x:c r="O9" s="9" t="n"/>
      <x:c r="P9" s="9" t="n"/>
      <x:c r="Q9" s="9" t="n"/>
      <x:c r="R9" s="9" t="n"/>
      <x:c r="S9" s="9" t="n"/>
      <x:c r="T9" s="9" t="n"/>
      <x:c r="U9" s="9" t="n"/>
      <x:c r="V9" s="9" t="n"/>
      <x:c r="W9" s="9" t="n"/>
      <x:c r="X9" s="9" t="n"/>
      <x:c r="Y9" s="9" t="n"/>
      <x:c r="Z9" s="9" t="n"/>
    </x:row>
    <x:row r="10" s="71" customFormat="1" ht="12" customHeight="1">
      <x:c r="A10" s="24" t="inlineStr">
        <x:is>
          <x:t xml:space="preserve">Reg Overtime (ROT)</x:t>
        </x:is>
      </x:c>
      <x:c r="B10" s="84" t="e">
        <x:f>VLOOKUP(A3,#REF!,30,0)</x:f>
      </x:c>
      <x:c r="C10" s="9" t="inlineStr">
        <x:is>
          <x:t xml:space="preserve">hrs</x:t>
        </x:is>
      </x:c>
      <x:c r="D10" s="9" t="n"/>
      <x:c r="E10" s="31" t="e">
        <x:f>VLOOKUP(A3,#REF!,31,0)</x:f>
      </x:c>
      <x:c r="F10" s="9" t="n"/>
      <x:c r="G10" s="9" t="n"/>
      <x:c r="H10" s="9" t="n"/>
      <x:c r="I10" s="9" t="n"/>
      <x:c r="J10" s="9" t="n"/>
      <x:c r="K10" s="9" t="n"/>
      <x:c r="L10" s="9" t="n"/>
      <x:c r="M10" s="9" t="n"/>
      <x:c r="N10" s="9" t="n"/>
      <x:c r="O10" s="9" t="n"/>
      <x:c r="P10" s="9" t="n"/>
      <x:c r="Q10" s="9" t="n"/>
      <x:c r="R10" s="9" t="n"/>
      <x:c r="S10" s="9" t="n"/>
      <x:c r="T10" s="9" t="n"/>
      <x:c r="U10" s="9" t="n"/>
      <x:c r="V10" s="9" t="n"/>
      <x:c r="W10" s="9" t="n"/>
      <x:c r="X10" s="9" t="n"/>
      <x:c r="Y10" s="9" t="n"/>
      <x:c r="Z10" s="9" t="n"/>
    </x:row>
    <x:row r="11" s="71" customFormat="1" ht="12" customHeight="1">
      <x:c r="A11" s="24" t="inlineStr">
        <x:is>
          <x:t xml:space="preserve">Special Hol (SH) Premium</x:t>
        </x:is>
      </x:c>
      <x:c r="B11" s="85" t="e">
        <x:f>VLOOKUP(A3,#REF!,32,0)</x:f>
      </x:c>
      <x:c r="C11" s="9" t="inlineStr">
        <x:is>
          <x:t xml:space="preserve">hrs</x:t>
        </x:is>
      </x:c>
      <x:c r="D11" s="9" t="n"/>
      <x:c r="E11" s="31" t="e">
        <x:f>VLOOKUP(A3,#REF!,33,0)</x:f>
      </x:c>
      <x:c r="F11" s="9" t="n"/>
      <x:c r="G11" s="9" t="n"/>
      <x:c r="H11" s="9" t="n"/>
      <x:c r="I11" s="9" t="n"/>
      <x:c r="J11" s="9" t="n"/>
      <x:c r="K11" s="9" t="n"/>
      <x:c r="L11" s="9" t="n"/>
      <x:c r="M11" s="9" t="n"/>
      <x:c r="N11" s="9" t="n"/>
      <x:c r="O11" s="9" t="n"/>
      <x:c r="P11" s="9" t="n"/>
      <x:c r="Q11" s="9" t="n"/>
      <x:c r="R11" s="9" t="n"/>
      <x:c r="S11" s="9" t="n"/>
      <x:c r="T11" s="9" t="n"/>
      <x:c r="U11" s="9" t="n"/>
      <x:c r="V11" s="9" t="n"/>
      <x:c r="W11" s="9" t="n"/>
      <x:c r="X11" s="9" t="n"/>
      <x:c r="Y11" s="9" t="n"/>
      <x:c r="Z11" s="9" t="n"/>
    </x:row>
    <x:row r="12" s="71" customFormat="1" ht="12" customHeight="1">
      <x:c r="A12" s="24" t="inlineStr">
        <x:is>
          <x:t xml:space="preserve">Special Hol OT</x:t>
        </x:is>
      </x:c>
      <x:c r="B12" s="84" t="e">
        <x:f>VLOOKUP(A3,#REF!,36,0)</x:f>
      </x:c>
      <x:c r="C12" s="9" t="inlineStr">
        <x:is>
          <x:t xml:space="preserve">hrs</x:t>
        </x:is>
      </x:c>
      <x:c r="D12" s="9" t="n"/>
      <x:c r="E12" s="31" t="e">
        <x:f>VLOOKUP(A3,#REF!,37,0)</x:f>
      </x:c>
      <x:c r="F12" s="9" t="n"/>
      <x:c r="G12" s="9" t="n"/>
      <x:c r="H12" s="9" t="n"/>
      <x:c r="I12" s="9" t="n"/>
      <x:c r="J12" s="9" t="n"/>
      <x:c r="K12" s="9" t="n"/>
      <x:c r="L12" s="9" t="n"/>
      <x:c r="M12" s="9" t="n"/>
      <x:c r="N12" s="9" t="n"/>
      <x:c r="O12" s="9" t="n"/>
      <x:c r="P12" s="9" t="n"/>
      <x:c r="Q12" s="9" t="n"/>
      <x:c r="R12" s="9" t="n"/>
      <x:c r="S12" s="9" t="n"/>
      <x:c r="T12" s="9" t="n"/>
      <x:c r="U12" s="9" t="n"/>
      <x:c r="V12" s="9" t="n"/>
      <x:c r="W12" s="9" t="n"/>
      <x:c r="X12" s="9" t="n"/>
      <x:c r="Y12" s="9" t="n"/>
      <x:c r="Z12" s="9" t="n"/>
    </x:row>
    <x:row r="13" s="71" customFormat="1" ht="12" customHeight="1">
      <x:c r="A13" s="24" t="inlineStr">
        <x:is>
          <x:t xml:space="preserve">Legal Holiday (LH) Premium</x:t>
        </x:is>
      </x:c>
      <x:c r="B13" s="84" t="e">
        <x:f>VLOOKUP(A3,#REF!,38,0)</x:f>
      </x:c>
      <x:c r="C13" s="9" t="inlineStr">
        <x:is>
          <x:t xml:space="preserve">hrs</x:t>
        </x:is>
      </x:c>
      <x:c r="D13" s="9" t="n"/>
      <x:c r="E13" s="31" t="e">
        <x:f>VLOOKUP(A3,#REF!,39,0)</x:f>
      </x:c>
      <x:c r="F13" s="9" t="n"/>
      <x:c r="G13" s="9" t="n"/>
      <x:c r="H13" s="9" t="n"/>
      <x:c r="I13" s="9" t="n"/>
      <x:c r="J13" s="9" t="n"/>
      <x:c r="K13" s="9" t="n"/>
      <x:c r="L13" s="9" t="n"/>
      <x:c r="M13" s="9" t="n"/>
      <x:c r="N13" s="9" t="n"/>
      <x:c r="O13" s="9" t="n"/>
      <x:c r="P13" s="9" t="n"/>
      <x:c r="Q13" s="9" t="n"/>
      <x:c r="R13" s="9" t="n"/>
      <x:c r="S13" s="9" t="n"/>
      <x:c r="T13" s="9" t="n"/>
      <x:c r="U13" s="9" t="n"/>
      <x:c r="V13" s="9" t="n"/>
      <x:c r="W13" s="9" t="n"/>
      <x:c r="X13" s="9" t="n"/>
      <x:c r="Y13" s="9" t="n"/>
      <x:c r="Z13" s="9" t="n"/>
    </x:row>
    <x:row r="14" s="71" customFormat="1" ht="12" customHeight="1">
      <x:c r="A14" s="24" t="inlineStr">
        <x:is>
          <x:t xml:space="preserve">LH OT</x:t>
        </x:is>
      </x:c>
      <x:c r="B14" s="84" t="e">
        <x:f>VLOOKUP(A3,#REF!,40,0)</x:f>
      </x:c>
      <x:c r="C14" s="9" t="inlineStr">
        <x:is>
          <x:t xml:space="preserve">hrs</x:t>
        </x:is>
      </x:c>
      <x:c r="D14" s="9" t="n"/>
      <x:c r="E14" s="31" t="e">
        <x:f>VLOOKUP(A3,#REF!,41,0)</x:f>
      </x:c>
      <x:c r="F14" s="9" t="n"/>
      <x:c r="G14" s="9" t="n"/>
      <x:c r="H14" s="9" t="n"/>
      <x:c r="I14" s="9" t="n"/>
      <x:c r="J14" s="9" t="n"/>
      <x:c r="K14" s="9" t="n"/>
      <x:c r="L14" s="9" t="n"/>
      <x:c r="M14" s="9" t="n"/>
      <x:c r="N14" s="9" t="n"/>
      <x:c r="O14" s="9" t="n"/>
      <x:c r="P14" s="9" t="n"/>
      <x:c r="Q14" s="9" t="n"/>
      <x:c r="R14" s="9" t="n"/>
      <x:c r="S14" s="9" t="n"/>
      <x:c r="T14" s="9" t="n"/>
      <x:c r="U14" s="9" t="n"/>
      <x:c r="V14" s="9" t="n"/>
      <x:c r="W14" s="9" t="n"/>
      <x:c r="X14" s="9" t="n"/>
      <x:c r="Y14" s="9" t="n"/>
      <x:c r="Z14" s="9" t="n"/>
    </x:row>
    <x:row r="15" s="71" customFormat="1" ht="12" customHeight="1">
      <x:c r="A15" s="24" t="inlineStr">
        <x:is>
          <x:t xml:space="preserve">Rest Day (RDOT)</x:t>
        </x:is>
      </x:c>
      <x:c r="B15" s="84" t="e">
        <x:f>VLOOKUP(A3,#REF!,46,0)</x:f>
      </x:c>
      <x:c r="C15" s="9" t="inlineStr">
        <x:is>
          <x:t xml:space="preserve">hr.</x:t>
        </x:is>
      </x:c>
      <x:c r="D15" s="9" t="n"/>
      <x:c r="E15" s="31" t="e">
        <x:f>VLOOKUP(A3,#REF!,47,0)</x:f>
      </x:c>
      <x:c r="F15" s="9" t="n"/>
      <x:c r="G15" s="9" t="n"/>
      <x:c r="H15" s="9" t="n"/>
      <x:c r="I15" s="9" t="n"/>
      <x:c r="J15" s="9" t="n"/>
      <x:c r="K15" s="9" t="n"/>
      <x:c r="L15" s="9" t="n"/>
      <x:c r="M15" s="9" t="n"/>
      <x:c r="N15" s="9" t="n"/>
      <x:c r="O15" s="9" t="n"/>
      <x:c r="P15" s="9" t="n"/>
      <x:c r="Q15" s="9" t="n"/>
      <x:c r="R15" s="9" t="n"/>
      <x:c r="S15" s="9" t="n"/>
      <x:c r="T15" s="9" t="n"/>
      <x:c r="U15" s="9" t="n"/>
      <x:c r="V15" s="9" t="n"/>
      <x:c r="W15" s="9" t="n"/>
      <x:c r="X15" s="9" t="n"/>
      <x:c r="Y15" s="9" t="n"/>
      <x:c r="Z15" s="9" t="n"/>
    </x:row>
    <x:row r="16" s="71" customFormat="1" ht="12" customHeight="1">
      <x:c r="A16" s="24" t="inlineStr">
        <x:is>
          <x:t xml:space="preserve">Night Differential</x:t>
        </x:is>
      </x:c>
      <x:c r="B16" s="86" t="e">
        <x:f>VLOOKUP(A3,#REF!,42,0)</x:f>
      </x:c>
      <x:c r="C16" s="9" t="inlineStr">
        <x:is>
          <x:t xml:space="preserve">hrs</x:t>
        </x:is>
      </x:c>
      <x:c r="D16" s="9" t="n"/>
      <x:c r="E16" s="31" t="e">
        <x:f>VLOOKUP(A3,#REF!,43,0)</x:f>
      </x:c>
      <x:c r="F16" s="9" t="n"/>
      <x:c r="G16" s="9" t="n"/>
      <x:c r="H16" s="9" t="n"/>
      <x:c r="I16" s="9" t="n"/>
      <x:c r="J16" s="9" t="n"/>
      <x:c r="K16" s="9" t="n"/>
      <x:c r="L16" s="9" t="n"/>
      <x:c r="M16" s="9" t="n"/>
      <x:c r="N16" s="9" t="n"/>
      <x:c r="O16" s="9" t="n"/>
      <x:c r="P16" s="9" t="n"/>
      <x:c r="Q16" s="9" t="n"/>
      <x:c r="R16" s="9" t="n"/>
      <x:c r="S16" s="9" t="n"/>
      <x:c r="T16" s="9" t="n"/>
      <x:c r="U16" s="9" t="n"/>
      <x:c r="V16" s="9" t="n"/>
      <x:c r="W16" s="9" t="n"/>
      <x:c r="X16" s="9" t="n"/>
      <x:c r="Y16" s="9" t="n"/>
      <x:c r="Z16" s="9" t="n"/>
    </x:row>
    <x:row r="17" s="71" customFormat="1" ht="12" customHeight="1">
      <x:c r="A17" s="24" t="inlineStr">
        <x:is>
          <x:t xml:space="preserve">Referral Bonus</x:t>
        </x:is>
      </x:c>
      <x:c r="B17" s="8" t="n"/>
      <x:c r="C17" s="9" t="n"/>
      <x:c r="D17" s="9" t="n"/>
      <x:c r="E17" s="31" t="e">
        <x:f>VLOOKUP(A3,#REF!,45,0)</x:f>
      </x:c>
      <x:c r="F17" s="9" t="n"/>
      <x:c r="G17" s="9" t="n"/>
      <x:c r="H17" s="9" t="n"/>
      <x:c r="I17" s="9" t="n"/>
      <x:c r="J17" s="9" t="n"/>
      <x:c r="K17" s="9" t="n"/>
      <x:c r="L17" s="9" t="n"/>
      <x:c r="M17" s="9" t="n"/>
      <x:c r="N17" s="9" t="n"/>
      <x:c r="O17" s="9" t="n"/>
      <x:c r="P17" s="9" t="n"/>
      <x:c r="Q17" s="9" t="n"/>
      <x:c r="R17" s="9" t="n"/>
      <x:c r="S17" s="9" t="n"/>
      <x:c r="T17" s="9" t="n"/>
      <x:c r="U17" s="9" t="n"/>
      <x:c r="V17" s="9" t="n"/>
      <x:c r="W17" s="9" t="n"/>
      <x:c r="X17" s="9" t="n"/>
      <x:c r="Y17" s="9" t="n"/>
      <x:c r="Z17" s="9" t="n"/>
    </x:row>
    <x:row r="18" s="71" customFormat="1" ht="12" customHeight="1">
      <x:c r="A18" s="24" t="inlineStr">
        <x:is>
          <x:t xml:space="preserve">Complexity Allowance</x:t>
        </x:is>
      </x:c>
      <x:c r="B18" s="8" t="n"/>
      <x:c r="C18" s="9" t="n"/>
      <x:c r="D18" s="9" t="n"/>
      <x:c r="E18" s="31" t="e">
        <x:f>VLOOKUP(A3,#REF!,48,0)</x:f>
      </x:c>
      <x:c r="F18" s="9" t="n"/>
      <x:c r="G18" s="9" t="n"/>
      <x:c r="H18" s="9" t="n"/>
      <x:c r="I18" s="9" t="n"/>
      <x:c r="J18" s="9" t="n"/>
      <x:c r="K18" s="9" t="n"/>
      <x:c r="L18" s="9" t="n"/>
      <x:c r="M18" s="9" t="n"/>
      <x:c r="N18" s="9" t="n"/>
      <x:c r="O18" s="9" t="n"/>
      <x:c r="P18" s="9" t="n"/>
      <x:c r="Q18" s="9" t="n"/>
      <x:c r="R18" s="9" t="n"/>
      <x:c r="S18" s="9" t="n"/>
      <x:c r="T18" s="9" t="n"/>
      <x:c r="U18" s="9" t="n"/>
      <x:c r="V18" s="9" t="n"/>
      <x:c r="W18" s="9" t="n"/>
      <x:c r="X18" s="9" t="n"/>
      <x:c r="Y18" s="9" t="n"/>
      <x:c r="Z18" s="9" t="n"/>
    </x:row>
    <x:row r="19" s="71" customFormat="1" ht="12" customHeight="1">
      <x:c r="A19" s="24" t="inlineStr">
        <x:is>
          <x:t xml:space="preserve">Observational Allowance</x:t>
        </x:is>
      </x:c>
      <x:c r="B19" s="8" t="n"/>
      <x:c r="C19" s="9" t="n"/>
      <x:c r="D19" s="9" t="n"/>
      <x:c r="E19" s="31" t="e">
        <x:f>VLOOKUP(A3,#REF!,49,0)</x:f>
      </x:c>
      <x:c r="F19" s="9" t="n"/>
      <x:c r="G19" s="9" t="n"/>
      <x:c r="H19" s="9" t="n"/>
      <x:c r="I19" s="9" t="n"/>
      <x:c r="J19" s="9" t="n"/>
      <x:c r="K19" s="9" t="n"/>
      <x:c r="L19" s="9" t="n"/>
      <x:c r="M19" s="9" t="n"/>
      <x:c r="N19" s="9" t="n"/>
      <x:c r="O19" s="9" t="n"/>
      <x:c r="P19" s="9" t="n"/>
      <x:c r="Q19" s="9" t="n"/>
      <x:c r="R19" s="9" t="n"/>
      <x:c r="S19" s="9" t="n"/>
      <x:c r="T19" s="9" t="n"/>
      <x:c r="U19" s="9" t="n"/>
      <x:c r="V19" s="9" t="n"/>
      <x:c r="W19" s="9" t="n"/>
      <x:c r="X19" s="9" t="n"/>
      <x:c r="Y19" s="9" t="n"/>
      <x:c r="Z19" s="9" t="n"/>
    </x:row>
    <x:row r="20" s="71" customFormat="1" ht="12" customHeight="1">
      <x:c r="A20" s="24" t="inlineStr">
        <x:is>
          <x:t xml:space="preserve">Allowance</x:t>
        </x:is>
      </x:c>
      <x:c r="B20" s="8" t="n"/>
      <x:c r="C20" s="9" t="n"/>
      <x:c r="D20" s="9" t="n"/>
      <x:c r="E20" s="31" t="e">
        <x:f>VLOOKUP(A3,#REF!,50,0)</x:f>
      </x:c>
      <x:c r="F20" s="9" t="n"/>
      <x:c r="G20" s="9" t="n"/>
      <x:c r="H20" s="9" t="n"/>
      <x:c r="I20" s="9" t="n"/>
      <x:c r="J20" s="9" t="n"/>
      <x:c r="K20" s="9" t="n"/>
      <x:c r="L20" s="9" t="n"/>
      <x:c r="M20" s="9" t="n"/>
      <x:c r="N20" s="9" t="n"/>
      <x:c r="O20" s="9" t="n"/>
      <x:c r="P20" s="9" t="n"/>
      <x:c r="Q20" s="9" t="n"/>
      <x:c r="R20" s="9" t="n"/>
      <x:c r="S20" s="9" t="n"/>
      <x:c r="T20" s="9" t="n"/>
      <x:c r="U20" s="9" t="n"/>
      <x:c r="V20" s="9" t="n"/>
      <x:c r="W20" s="9" t="n"/>
      <x:c r="X20" s="9" t="n"/>
      <x:c r="Y20" s="9" t="n"/>
      <x:c r="Z20" s="9" t="n"/>
    </x:row>
    <x:row r="21" s="71" customFormat="1" ht="12" customHeight="1">
      <x:c r="A21" s="24" t="inlineStr">
        <x:is>
          <x:t xml:space="preserve">KPI/OT Incentive</x:t>
        </x:is>
      </x:c>
      <x:c r="B21" s="8" t="n"/>
      <x:c r="C21" s="9" t="n"/>
      <x:c r="D21" s="9" t="n"/>
      <x:c r="E21" s="31" t="e">
        <x:f>VLOOKUP(A3,#REF!,51,0)</x:f>
      </x:c>
      <x:c r="F21" s="9" t="n"/>
      <x:c r="G21" s="9" t="n"/>
      <x:c r="H21" s="9" t="n"/>
      <x:c r="I21" s="9" t="n"/>
      <x:c r="J21" s="9" t="n"/>
      <x:c r="K21" s="9" t="n"/>
      <x:c r="L21" s="9" t="n"/>
      <x:c r="M21" s="9" t="n"/>
      <x:c r="N21" s="9" t="n"/>
      <x:c r="O21" s="9" t="n"/>
      <x:c r="P21" s="9" t="n"/>
      <x:c r="Q21" s="9" t="n"/>
      <x:c r="R21" s="9" t="n"/>
      <x:c r="S21" s="9" t="n"/>
      <x:c r="T21" s="9" t="n"/>
      <x:c r="U21" s="9" t="n"/>
      <x:c r="V21" s="9" t="n"/>
      <x:c r="W21" s="9" t="n"/>
      <x:c r="X21" s="9" t="n"/>
      <x:c r="Y21" s="9" t="n"/>
      <x:c r="Z21" s="9" t="n"/>
    </x:row>
    <x:row r="22" s="71" customFormat="1" ht="14.399999618530273" customHeight="1">
      <x:c r="A22" s="24" t="inlineStr">
        <x:is>
          <x:t xml:space="preserve">Tax Refund</x:t>
        </x:is>
      </x:c>
      <x:c r="B22" s="9" t="n"/>
      <x:c r="C22" s="9" t="n"/>
      <x:c r="D22" s="24" t="n"/>
      <x:c r="E22" s="31" t="n"/>
      <x:c r="F22" s="9" t="n"/>
      <x:c r="G22" s="9" t="n"/>
      <x:c r="H22" s="9" t="n"/>
      <x:c r="I22" s="9" t="n"/>
      <x:c r="J22" s="9" t="n"/>
      <x:c r="K22" s="9" t="n"/>
      <x:c r="L22" s="9" t="n"/>
      <x:c r="M22" s="9" t="n"/>
      <x:c r="N22" s="9" t="n"/>
      <x:c r="O22" s="9" t="n"/>
      <x:c r="P22" s="9" t="n"/>
      <x:c r="Q22" s="9" t="n"/>
      <x:c r="R22" s="9" t="n"/>
      <x:c r="S22" s="9" t="n"/>
      <x:c r="T22" s="9" t="n"/>
      <x:c r="U22" s="9" t="n"/>
      <x:c r="V22" s="9" t="n"/>
      <x:c r="W22" s="9" t="n"/>
      <x:c r="X22" s="9" t="n"/>
      <x:c r="Y22" s="9" t="n"/>
      <x:c r="Z22" s="9" t="n"/>
    </x:row>
    <x:row r="23" s="71" customFormat="1" ht="12" customHeight="1">
      <x:c r="A23" s="24" t="inlineStr">
        <x:is>
          <x:t xml:space="preserve">Retro Pay </x:t>
        </x:is>
      </x:c>
      <x:c r="B23" s="8" t="n"/>
      <x:c r="C23" s="9" t="n"/>
      <x:c r="D23" s="9" t="n"/>
      <x:c r="E23" s="31" t="n"/>
      <x:c r="F23" s="9" t="n"/>
      <x:c r="G23" s="9" t="n"/>
      <x:c r="H23" s="9" t="n"/>
      <x:c r="I23" s="9" t="n"/>
      <x:c r="J23" s="9" t="n"/>
      <x:c r="K23" s="9" t="n"/>
      <x:c r="L23" s="9" t="n"/>
      <x:c r="M23" s="9" t="n"/>
      <x:c r="N23" s="9" t="n"/>
      <x:c r="O23" s="9" t="n"/>
      <x:c r="P23" s="9" t="n"/>
      <x:c r="Q23" s="9" t="n"/>
      <x:c r="R23" s="9" t="n"/>
      <x:c r="S23" s="9" t="n"/>
      <x:c r="T23" s="9" t="n"/>
      <x:c r="U23" s="9" t="n"/>
      <x:c r="V23" s="9" t="n"/>
      <x:c r="W23" s="9" t="n"/>
      <x:c r="X23" s="9" t="n"/>
      <x:c r="Y23" s="9" t="n"/>
      <x:c r="Z23" s="9" t="n"/>
    </x:row>
    <x:row r="24" s="71" customFormat="1" ht="12" customHeight="1">
      <x:c r="A24" s="24" t="inlineStr">
        <x:is>
          <x:t xml:space="preserve">Salary Adjustment (Dispute)</x:t>
        </x:is>
      </x:c>
      <x:c r="B24" s="9" t="n"/>
      <x:c r="C24" s="9" t="n"/>
      <x:c r="D24" s="9" t="n"/>
      <x:c r="E24" s="31" t="e">
        <x:f>VLOOKUP(A3,#REF!,52,0)</x:f>
      </x:c>
      <x:c r="F24" s="9" t="n"/>
      <x:c r="G24" s="9" t="n"/>
      <x:c r="H24" s="9" t="n"/>
      <x:c r="I24" s="9" t="n"/>
      <x:c r="J24" s="9" t="n"/>
      <x:c r="K24" s="9" t="n"/>
      <x:c r="L24" s="9" t="n"/>
      <x:c r="M24" s="9" t="n"/>
      <x:c r="N24" s="9" t="n"/>
      <x:c r="O24" s="9" t="n"/>
      <x:c r="P24" s="9" t="n"/>
      <x:c r="Q24" s="9" t="n"/>
      <x:c r="R24" s="9" t="n"/>
      <x:c r="S24" s="9" t="n"/>
      <x:c r="T24" s="9" t="n"/>
      <x:c r="U24" s="9" t="n"/>
      <x:c r="V24" s="9" t="n"/>
      <x:c r="W24" s="9" t="n"/>
      <x:c r="X24" s="9" t="n"/>
      <x:c r="Y24" s="9" t="n"/>
      <x:c r="Z24" s="9" t="n"/>
    </x:row>
    <x:row r="25" s="71" customFormat="1" ht="12" customHeight="1">
      <x:c r="A25" s="24" t="n"/>
      <x:c r="B25" s="9" t="n"/>
      <x:c r="C25" s="9" t="n"/>
      <x:c r="D25" s="24" t="n"/>
      <x:c r="E25" s="31" t="e">
        <x:f>VLOOKUP(A3,#REF!,53,0)</x:f>
      </x:c>
      <x:c r="F25" s="9" t="n"/>
      <x:c r="G25" s="9" t="n"/>
      <x:c r="H25" s="9" t="n"/>
      <x:c r="I25" s="9" t="n"/>
      <x:c r="J25" s="9" t="n"/>
      <x:c r="K25" s="9" t="n"/>
      <x:c r="L25" s="9" t="n"/>
      <x:c r="M25" s="9" t="n"/>
      <x:c r="N25" s="9" t="n"/>
      <x:c r="O25" s="9" t="n"/>
      <x:c r="P25" s="9" t="n"/>
      <x:c r="Q25" s="9" t="n"/>
      <x:c r="R25" s="9" t="n"/>
      <x:c r="S25" s="9" t="n"/>
      <x:c r="T25" s="9" t="n"/>
      <x:c r="U25" s="9" t="n"/>
      <x:c r="V25" s="9" t="n"/>
      <x:c r="W25" s="9" t="n"/>
      <x:c r="X25" s="9" t="n"/>
      <x:c r="Y25" s="9" t="n"/>
      <x:c r="Z25" s="9" t="n"/>
    </x:row>
    <x:row r="26" s="71" customFormat="1" ht="16.5" customHeight="1">
      <x:c r="A26" s="24" t="inlineStr">
        <x:is>
          <x:t xml:space="preserve">Gross Pay</x:t>
        </x:is>
      </x:c>
      <x:c r="B26" s="9" t="n"/>
      <x:c r="C26" s="9" t="n"/>
      <x:c r="D26" s="27" t="inlineStr">
        <x:is>
          <x:t xml:space="preserve">Php</x:t>
        </x:is>
      </x:c>
      <x:c r="E26" s="87" t="e">
        <x:f>ROUND(SUM(E6:E25),2)</x:f>
      </x:c>
      <x:c r="F26" s="82" t="e">
        <x:f>VLOOKUP(A3,#REF!,54,0)</x:f>
      </x:c>
      <x:c r="G26" s="82" t="e">
        <x:f>E26-F26</x:f>
      </x:c>
      <x:c r="H26" s="9" t="n"/>
      <x:c r="I26" s="9" t="n"/>
      <x:c r="J26" s="9" t="n"/>
      <x:c r="K26" s="9" t="n"/>
      <x:c r="L26" s="9" t="n"/>
      <x:c r="M26" s="9" t="n"/>
      <x:c r="N26" s="9" t="n"/>
      <x:c r="O26" s="9" t="n"/>
      <x:c r="P26" s="9" t="n"/>
      <x:c r="Q26" s="9" t="n"/>
      <x:c r="R26" s="9" t="n"/>
      <x:c r="S26" s="9" t="n"/>
      <x:c r="T26" s="9" t="n"/>
      <x:c r="U26" s="9" t="n"/>
      <x:c r="V26" s="9" t="n"/>
      <x:c r="W26" s="9" t="n"/>
      <x:c r="X26" s="9" t="n"/>
      <x:c r="Y26" s="9" t="n"/>
      <x:c r="Z26" s="9" t="n"/>
    </x:row>
    <x:row r="27" s="71" customFormat="1" ht="12" customHeight="1">
      <x:c r="A27" s="24" t="inlineStr">
        <x:is>
          <x:t xml:space="preserve">DEDUCTIONS:</x:t>
        </x:is>
      </x:c>
      <x:c r="B27" s="9" t="n"/>
      <x:c r="C27" s="9" t="n"/>
      <x:c r="D27" s="9" t="n"/>
      <x:c r="E27" s="82" t="n"/>
      <x:c r="F27" s="9" t="n"/>
      <x:c r="G27" s="9" t="n"/>
      <x:c r="H27" s="9" t="n"/>
      <x:c r="I27" s="9" t="n"/>
      <x:c r="J27" s="9" t="n"/>
      <x:c r="K27" s="9" t="n"/>
      <x:c r="L27" s="9" t="n"/>
      <x:c r="M27" s="9" t="n"/>
      <x:c r="N27" s="9" t="n"/>
      <x:c r="O27" s="9" t="n"/>
      <x:c r="P27" s="9" t="n"/>
      <x:c r="Q27" s="9" t="n"/>
      <x:c r="R27" s="9" t="n"/>
      <x:c r="S27" s="9" t="n"/>
      <x:c r="T27" s="9" t="n"/>
      <x:c r="U27" s="9" t="n"/>
      <x:c r="V27" s="9" t="n"/>
      <x:c r="W27" s="9" t="n"/>
      <x:c r="X27" s="9" t="n"/>
      <x:c r="Y27" s="9" t="n"/>
      <x:c r="Z27" s="9" t="n"/>
    </x:row>
    <x:row r="28" s="71" customFormat="1" ht="12" customHeight="1">
      <x:c r="A28" s="24" t="inlineStr">
        <x:is>
          <x:t xml:space="preserve">SSS</x:t>
        </x:is>
      </x:c>
      <x:c r="B28" s="9" t="n"/>
      <x:c r="C28" s="9" t="n"/>
      <x:c r="D28" s="9" t="n"/>
      <x:c r="E28" s="82" t="e">
        <x:f>VLOOKUP(A3,#REF!,55,0)</x:f>
      </x:c>
      <x:c r="F28" s="9" t="n"/>
      <x:c r="G28" s="9" t="n"/>
      <x:c r="H28" s="9" t="n"/>
      <x:c r="I28" s="9" t="n"/>
      <x:c r="J28" s="9" t="n"/>
      <x:c r="K28" s="9" t="n"/>
      <x:c r="L28" s="9" t="n"/>
      <x:c r="M28" s="9" t="n"/>
      <x:c r="N28" s="9" t="n"/>
      <x:c r="O28" s="9" t="n"/>
      <x:c r="P28" s="9" t="n"/>
      <x:c r="Q28" s="9" t="n"/>
      <x:c r="R28" s="9" t="n"/>
      <x:c r="S28" s="9" t="n"/>
      <x:c r="T28" s="9" t="n"/>
      <x:c r="U28" s="9" t="n"/>
      <x:c r="V28" s="9" t="n"/>
      <x:c r="W28" s="9" t="n"/>
      <x:c r="X28" s="9" t="n"/>
      <x:c r="Y28" s="9" t="n"/>
      <x:c r="Z28" s="9" t="n"/>
    </x:row>
    <x:row r="29" s="71" customFormat="1" ht="12" customHeight="1">
      <x:c r="A29" s="24" t="inlineStr">
        <x:is>
          <x:t xml:space="preserve">Philhealth</x:t>
        </x:is>
      </x:c>
      <x:c r="B29" s="9" t="n"/>
      <x:c r="C29" s="9" t="n"/>
      <x:c r="D29" s="9" t="n"/>
      <x:c r="E29" s="82" t="e">
        <x:f>VLOOKUP(A3,#REF!,56,0)</x:f>
      </x:c>
      <x:c r="F29" s="9" t="n"/>
      <x:c r="G29" s="9" t="n"/>
      <x:c r="H29" s="9" t="n"/>
      <x:c r="I29" s="9" t="n"/>
      <x:c r="J29" s="9" t="n"/>
      <x:c r="K29" s="9" t="n"/>
      <x:c r="L29" s="9" t="n"/>
      <x:c r="M29" s="9" t="n"/>
      <x:c r="N29" s="9" t="n"/>
      <x:c r="O29" s="9" t="n"/>
      <x:c r="P29" s="9" t="n"/>
      <x:c r="Q29" s="9" t="n"/>
      <x:c r="R29" s="9" t="n"/>
      <x:c r="S29" s="9" t="n"/>
      <x:c r="T29" s="9" t="n"/>
      <x:c r="U29" s="9" t="n"/>
      <x:c r="V29" s="9" t="n"/>
      <x:c r="W29" s="9" t="n"/>
      <x:c r="X29" s="9" t="n"/>
      <x:c r="Y29" s="9" t="n"/>
      <x:c r="Z29" s="9" t="n"/>
    </x:row>
    <x:row r="30" s="71" customFormat="1" ht="12" customHeight="1">
      <x:c r="A30" s="24" t="inlineStr">
        <x:is>
          <x:t xml:space="preserve">HDMF</x:t>
        </x:is>
      </x:c>
      <x:c r="B30" s="9" t="n"/>
      <x:c r="C30" s="9" t="n"/>
      <x:c r="D30" s="9" t="n"/>
      <x:c r="E30" s="82" t="e">
        <x:f>VLOOKUP(A3,#REF!,57,0)</x:f>
      </x:c>
      <x:c r="F30" s="9" t="n"/>
      <x:c r="G30" s="9" t="n"/>
      <x:c r="H30" s="9" t="n"/>
      <x:c r="I30" s="9" t="n"/>
      <x:c r="J30" s="9" t="n"/>
      <x:c r="K30" s="9" t="n"/>
      <x:c r="L30" s="9" t="n"/>
      <x:c r="M30" s="9" t="n"/>
      <x:c r="N30" s="9" t="n"/>
      <x:c r="O30" s="9" t="n"/>
      <x:c r="P30" s="9" t="n"/>
      <x:c r="Q30" s="9" t="n"/>
      <x:c r="R30" s="9" t="n"/>
      <x:c r="S30" s="9" t="n"/>
      <x:c r="T30" s="9" t="n"/>
      <x:c r="U30" s="9" t="n"/>
      <x:c r="V30" s="9" t="n"/>
      <x:c r="W30" s="9" t="n"/>
      <x:c r="X30" s="9" t="n"/>
      <x:c r="Y30" s="9" t="n"/>
      <x:c r="Z30" s="9" t="n"/>
    </x:row>
    <x:row r="31" s="71" customFormat="1" ht="12" customHeight="1">
      <x:c r="A31" s="24" t="inlineStr">
        <x:is>
          <x:t xml:space="preserve">SSS Salary Loan</x:t>
        </x:is>
      </x:c>
      <x:c r="B31" s="9" t="n"/>
      <x:c r="C31" s="9" t="n"/>
      <x:c r="D31" s="9" t="n"/>
      <x:c r="E31" s="82" t="e">
        <x:f>VLOOKUP(A3,#REF!,58,0)</x:f>
      </x:c>
      <x:c r="F31" s="9" t="n"/>
      <x:c r="G31" s="9" t="n"/>
      <x:c r="H31" s="9" t="n"/>
      <x:c r="I31" s="9" t="n"/>
      <x:c r="J31" s="9" t="n"/>
      <x:c r="K31" s="9" t="n"/>
      <x:c r="L31" s="9" t="n"/>
      <x:c r="M31" s="9" t="n"/>
      <x:c r="N31" s="9" t="n"/>
      <x:c r="O31" s="9" t="n"/>
      <x:c r="P31" s="9" t="n"/>
      <x:c r="Q31" s="9" t="n"/>
      <x:c r="R31" s="9" t="n"/>
      <x:c r="S31" s="9" t="n"/>
      <x:c r="T31" s="9" t="n"/>
      <x:c r="U31" s="9" t="n"/>
      <x:c r="V31" s="9" t="n"/>
      <x:c r="W31" s="9" t="n"/>
      <x:c r="X31" s="9" t="n"/>
      <x:c r="Y31" s="9" t="n"/>
      <x:c r="Z31" s="9" t="n"/>
    </x:row>
    <x:row r="32" s="71" customFormat="1" ht="12" customHeight="1">
      <x:c r="A32" s="24" t="inlineStr">
        <x:is>
          <x:t xml:space="preserve">SSS Calamity Loan</x:t>
        </x:is>
      </x:c>
      <x:c r="B32" s="9" t="n"/>
      <x:c r="C32" s="9" t="n"/>
      <x:c r="D32" s="9" t="n"/>
      <x:c r="E32" s="82" t="e">
        <x:f>VLOOKUP(A3,#REF!,59,0)</x:f>
      </x:c>
      <x:c r="F32" s="9" t="n"/>
      <x:c r="G32" s="9" t="n"/>
      <x:c r="H32" s="9" t="n"/>
      <x:c r="I32" s="9" t="n"/>
      <x:c r="J32" s="9" t="n"/>
      <x:c r="K32" s="9" t="n"/>
      <x:c r="L32" s="9" t="n"/>
      <x:c r="M32" s="9" t="n"/>
      <x:c r="N32" s="9" t="n"/>
      <x:c r="O32" s="9" t="n"/>
      <x:c r="P32" s="9" t="n"/>
      <x:c r="Q32" s="9" t="n"/>
      <x:c r="R32" s="9" t="n"/>
      <x:c r="S32" s="9" t="n"/>
      <x:c r="T32" s="9" t="n"/>
      <x:c r="U32" s="9" t="n"/>
      <x:c r="V32" s="9" t="n"/>
      <x:c r="W32" s="9" t="n"/>
      <x:c r="X32" s="9" t="n"/>
      <x:c r="Y32" s="9" t="n"/>
      <x:c r="Z32" s="9" t="n"/>
    </x:row>
    <x:row r="33" s="71" customFormat="1" ht="12" customHeight="1">
      <x:c r="A33" s="24" t="inlineStr">
        <x:is>
          <x:t xml:space="preserve">HDMF Multipurpose Loan</x:t>
        </x:is>
      </x:c>
      <x:c r="B33" s="9" t="n"/>
      <x:c r="C33" s="9" t="n"/>
      <x:c r="D33" s="9" t="n"/>
      <x:c r="E33" s="82" t="e">
        <x:f>VLOOKUP(A3,#REF!,60,0)</x:f>
      </x:c>
      <x:c r="F33" s="9" t="n"/>
      <x:c r="G33" s="9" t="n"/>
      <x:c r="H33" s="9" t="n"/>
      <x:c r="I33" s="9" t="n"/>
      <x:c r="J33" s="9" t="n"/>
      <x:c r="K33" s="9" t="n"/>
      <x:c r="L33" s="9" t="n"/>
      <x:c r="M33" s="9" t="n"/>
      <x:c r="N33" s="9" t="n"/>
      <x:c r="O33" s="9" t="n"/>
      <x:c r="P33" s="9" t="n"/>
      <x:c r="Q33" s="9" t="n"/>
      <x:c r="R33" s="9" t="n"/>
      <x:c r="S33" s="9" t="n"/>
      <x:c r="T33" s="9" t="n"/>
      <x:c r="U33" s="9" t="n"/>
      <x:c r="V33" s="9" t="n"/>
      <x:c r="W33" s="9" t="n"/>
      <x:c r="X33" s="9" t="n"/>
      <x:c r="Y33" s="9" t="n"/>
      <x:c r="Z33" s="9" t="n"/>
    </x:row>
    <x:row r="34" s="71" customFormat="1" ht="12" customHeight="1">
      <x:c r="A34" s="24" t="inlineStr">
        <x:is>
          <x:t xml:space="preserve">HDMF Calamity Loan</x:t>
        </x:is>
      </x:c>
      <x:c r="B34" s="9" t="n"/>
      <x:c r="C34" s="9" t="n"/>
      <x:c r="D34" s="9" t="n"/>
      <x:c r="E34" s="82" t="e">
        <x:f>VLOOKUP(A3,#REF!,61,0)</x:f>
      </x:c>
      <x:c r="F34" s="9" t="n"/>
      <x:c r="G34" s="9" t="n"/>
      <x:c r="H34" s="9" t="n"/>
      <x:c r="I34" s="9" t="n"/>
      <x:c r="J34" s="9" t="n"/>
      <x:c r="K34" s="9" t="n"/>
      <x:c r="L34" s="9" t="n"/>
      <x:c r="M34" s="9" t="n"/>
      <x:c r="N34" s="9" t="n"/>
      <x:c r="O34" s="9" t="n"/>
      <x:c r="P34" s="9" t="n"/>
      <x:c r="Q34" s="9" t="n"/>
      <x:c r="R34" s="9" t="n"/>
      <x:c r="S34" s="9" t="n"/>
      <x:c r="T34" s="9" t="n"/>
      <x:c r="U34" s="9" t="n"/>
      <x:c r="V34" s="9" t="n"/>
      <x:c r="W34" s="9" t="n"/>
      <x:c r="X34" s="9" t="n"/>
      <x:c r="Y34" s="9" t="n"/>
      <x:c r="Z34" s="9" t="n"/>
    </x:row>
    <x:row r="35" s="71" customFormat="1" ht="12" customHeight="1">
      <x:c r="A35" s="24" t="inlineStr">
        <x:is>
          <x:t xml:space="preserve">Tax W/held</x:t>
        </x:is>
      </x:c>
      <x:c r="B35" s="9" t="n"/>
      <x:c r="C35" s="9" t="n"/>
      <x:c r="D35" s="9" t="n"/>
      <x:c r="E35" s="82" t="e">
        <x:f>VLOOKUP(A3,#REF!,63,0)</x:f>
      </x:c>
      <x:c r="F35" s="9" t="n"/>
      <x:c r="G35" s="9" t="n"/>
      <x:c r="H35" s="9" t="n"/>
      <x:c r="I35" s="9" t="n"/>
      <x:c r="J35" s="9" t="n"/>
      <x:c r="K35" s="9" t="n"/>
      <x:c r="L35" s="9" t="n"/>
      <x:c r="M35" s="9" t="n"/>
      <x:c r="N35" s="9" t="n"/>
      <x:c r="O35" s="9" t="n"/>
      <x:c r="P35" s="9" t="n"/>
      <x:c r="Q35" s="9" t="n"/>
      <x:c r="R35" s="9" t="n"/>
      <x:c r="S35" s="9" t="n"/>
      <x:c r="T35" s="9" t="n"/>
      <x:c r="U35" s="9" t="n"/>
      <x:c r="V35" s="9" t="n"/>
      <x:c r="W35" s="9" t="n"/>
      <x:c r="X35" s="9" t="n"/>
      <x:c r="Y35" s="9" t="n"/>
      <x:c r="Z35" s="9" t="n"/>
    </x:row>
    <x:row r="36" s="71" customFormat="1" ht="12" customHeight="1">
      <x:c r="A36" s="24" t="inlineStr">
        <x:is>
          <x:t xml:space="preserve">Advances</x:t>
        </x:is>
      </x:c>
      <x:c r="B36" s="9" t="n"/>
      <x:c r="C36" s="9" t="n"/>
      <x:c r="D36" s="9" t="n"/>
      <x:c r="E36" s="82" t="e">
        <x:f>VLOOKUP(A3,#REF!,64,0)</x:f>
      </x:c>
      <x:c r="F36" s="9" t="n"/>
      <x:c r="G36" s="9" t="n"/>
      <x:c r="H36" s="9" t="n"/>
      <x:c r="I36" s="9" t="n"/>
      <x:c r="J36" s="9" t="n"/>
      <x:c r="K36" s="9" t="n"/>
      <x:c r="L36" s="9" t="n"/>
      <x:c r="M36" s="9" t="n"/>
      <x:c r="N36" s="9" t="n"/>
      <x:c r="O36" s="9" t="n"/>
      <x:c r="P36" s="9" t="n"/>
      <x:c r="Q36" s="9" t="n"/>
      <x:c r="R36" s="9" t="n"/>
      <x:c r="S36" s="9" t="n"/>
      <x:c r="T36" s="9" t="n"/>
      <x:c r="U36" s="9" t="n"/>
      <x:c r="V36" s="9" t="n"/>
      <x:c r="W36" s="9" t="n"/>
      <x:c r="X36" s="9" t="n"/>
      <x:c r="Y36" s="9" t="n"/>
      <x:c r="Z36" s="9" t="n"/>
    </x:row>
    <x:row r="37" s="71" customFormat="1" ht="12" customHeight="1">
      <x:c r="A37" s="24" t="inlineStr">
        <x:is>
          <x:t xml:space="preserve">Over payment </x:t>
        </x:is>
      </x:c>
      <x:c r="B37" s="9" t="n"/>
      <x:c r="C37" s="9" t="n"/>
      <x:c r="D37" s="9" t="n"/>
      <x:c r="E37" s="82" t="e">
        <x:f>VLOOKUP(A3,#REF!,62,0)</x:f>
      </x:c>
      <x:c r="F37" s="9" t="n"/>
      <x:c r="G37" s="9" t="n"/>
      <x:c r="H37" s="9" t="n"/>
      <x:c r="I37" s="9" t="n"/>
      <x:c r="J37" s="9" t="n"/>
      <x:c r="K37" s="9" t="n"/>
      <x:c r="L37" s="9" t="n"/>
      <x:c r="M37" s="9" t="n"/>
      <x:c r="N37" s="9" t="n"/>
      <x:c r="O37" s="9" t="n"/>
      <x:c r="P37" s="9" t="n"/>
      <x:c r="Q37" s="9" t="n"/>
      <x:c r="R37" s="9" t="n"/>
      <x:c r="S37" s="9" t="n"/>
      <x:c r="T37" s="9" t="n"/>
      <x:c r="U37" s="9" t="n"/>
      <x:c r="V37" s="9" t="n"/>
      <x:c r="W37" s="9" t="n"/>
      <x:c r="X37" s="9" t="n"/>
      <x:c r="Y37" s="9" t="n"/>
      <x:c r="Z37" s="9" t="n"/>
    </x:row>
    <x:row r="38" s="71" customFormat="1" ht="12" customHeight="1">
      <x:c r="A38" s="24" t="inlineStr">
        <x:is>
          <x:t xml:space="preserve">HMO</x:t>
        </x:is>
      </x:c>
      <x:c r="B38" s="9" t="n"/>
      <x:c r="C38" s="9" t="n"/>
      <x:c r="D38" s="9" t="n"/>
      <x:c r="E38" s="82" t="e">
        <x:f>VLOOKUP(A3,#REF!,65,0)</x:f>
      </x:c>
      <x:c r="F38" s="9" t="n"/>
      <x:c r="G38" s="9" t="n"/>
      <x:c r="H38" s="9" t="n"/>
      <x:c r="I38" s="9" t="n"/>
      <x:c r="J38" s="9" t="n"/>
      <x:c r="K38" s="9" t="n"/>
      <x:c r="L38" s="9" t="n"/>
      <x:c r="M38" s="9" t="n"/>
      <x:c r="N38" s="9" t="n"/>
      <x:c r="O38" s="9" t="n"/>
      <x:c r="P38" s="9" t="n"/>
      <x:c r="Q38" s="9" t="n"/>
      <x:c r="R38" s="9" t="n"/>
      <x:c r="S38" s="9" t="n"/>
      <x:c r="T38" s="9" t="n"/>
      <x:c r="U38" s="9" t="n"/>
      <x:c r="V38" s="9" t="n"/>
      <x:c r="W38" s="9" t="n"/>
      <x:c r="X38" s="9" t="n"/>
      <x:c r="Y38" s="9" t="n"/>
      <x:c r="Z38" s="9" t="n"/>
    </x:row>
    <x:row r="39" s="71" customFormat="1" ht="12" customHeight="1">
      <x:c r="A39" s="24" t="inlineStr">
        <x:is>
          <x:t xml:space="preserve">HMO Dependent</x:t>
        </x:is>
      </x:c>
      <x:c r="B39" s="9" t="n"/>
      <x:c r="C39" s="9" t="n"/>
      <x:c r="D39" s="9" t="n"/>
      <x:c r="E39" s="31" t="e">
        <x:f>VLOOKUP(A3,#REF!,66,0)</x:f>
      </x:c>
      <x:c r="F39" s="9" t="n"/>
      <x:c r="G39" s="9" t="n"/>
      <x:c r="H39" s="9" t="n"/>
      <x:c r="I39" s="39" t="e">
        <x:f>VLOOKUP(A3,#REF!,64,0)</x:f>
      </x:c>
      <x:c r="J39" s="9" t="n"/>
      <x:c r="K39" s="9" t="n"/>
      <x:c r="L39" s="9" t="n"/>
      <x:c r="M39" s="9" t="n"/>
      <x:c r="N39" s="9" t="n"/>
      <x:c r="O39" s="9" t="n"/>
      <x:c r="P39" s="9" t="n"/>
      <x:c r="Q39" s="9" t="n"/>
      <x:c r="R39" s="9" t="n"/>
      <x:c r="S39" s="9" t="n"/>
      <x:c r="T39" s="9" t="n"/>
      <x:c r="U39" s="9" t="n"/>
      <x:c r="V39" s="9" t="n"/>
      <x:c r="W39" s="9" t="n"/>
      <x:c r="X39" s="9" t="n"/>
      <x:c r="Y39" s="9" t="n"/>
      <x:c r="Z39" s="9" t="n"/>
    </x:row>
    <x:row r="40" s="71" customFormat="1" ht="12" customHeight="1">
      <x:c r="A40" s="24" t="inlineStr">
        <x:is>
          <x:t xml:space="preserve">Total</x:t>
        </x:is>
      </x:c>
      <x:c r="B40" s="9" t="n"/>
      <x:c r="C40" s="9" t="n"/>
      <x:c r="D40" s="27" t="inlineStr">
        <x:is>
          <x:t xml:space="preserve">Php</x:t>
        </x:is>
      </x:c>
      <x:c r="E40" s="87" t="e">
        <x:f>SUM(E28:E39)</x:f>
      </x:c>
      <x:c r="F40" s="9" t="n"/>
      <x:c r="G40" s="9" t="n"/>
      <x:c r="H40" s="9" t="n"/>
      <x:c r="I40" s="9" t="n"/>
      <x:c r="J40" s="9" t="n"/>
      <x:c r="K40" s="9" t="n"/>
      <x:c r="L40" s="9" t="n"/>
      <x:c r="M40" s="9" t="n"/>
      <x:c r="N40" s="9" t="n"/>
      <x:c r="O40" s="9" t="n"/>
      <x:c r="P40" s="9" t="n"/>
      <x:c r="Q40" s="9" t="n"/>
      <x:c r="R40" s="9" t="n"/>
      <x:c r="S40" s="9" t="n"/>
      <x:c r="T40" s="9" t="n"/>
      <x:c r="U40" s="9" t="n"/>
      <x:c r="V40" s="9" t="n"/>
      <x:c r="W40" s="9" t="n"/>
      <x:c r="X40" s="9" t="n"/>
      <x:c r="Y40" s="9" t="n"/>
      <x:c r="Z40" s="9" t="n"/>
    </x:row>
    <x:row r="41" s="71" customFormat="1" ht="12" customHeight="1">
      <x:c r="A41" s="24" t="inlineStr">
        <x:is>
          <x:t xml:space="preserve">NET PAY</x:t>
        </x:is>
      </x:c>
      <x:c r="B41" s="9" t="n"/>
      <x:c r="C41" s="9" t="n"/>
      <x:c r="D41" s="40" t="inlineStr">
        <x:is>
          <x:t xml:space="preserve">Php</x:t>
        </x:is>
      </x:c>
      <x:c r="E41" s="88" t="e">
        <x:f>ROUND((E26-E40),2)</x:f>
      </x:c>
      <x:c r="F41" s="39" t="e">
        <x:f>VLOOKUP(A3,#REF!,68,0)</x:f>
      </x:c>
      <x:c r="G41" s="82" t="e">
        <x:f>E41-F41</x:f>
      </x:c>
      <x:c r="H41" s="9" t="n"/>
      <x:c r="I41" s="9" t="n"/>
      <x:c r="J41" s="9" t="n"/>
      <x:c r="K41" s="9" t="n"/>
      <x:c r="L41" s="9" t="n"/>
      <x:c r="M41" s="9" t="n"/>
      <x:c r="N41" s="9" t="n"/>
      <x:c r="O41" s="9" t="n"/>
      <x:c r="P41" s="9" t="n"/>
      <x:c r="Q41" s="9" t="n"/>
      <x:c r="R41" s="9" t="n"/>
      <x:c r="S41" s="9" t="n"/>
      <x:c r="T41" s="9" t="n"/>
      <x:c r="U41" s="9" t="n"/>
      <x:c r="V41" s="9" t="n"/>
      <x:c r="W41" s="9" t="n"/>
      <x:c r="X41" s="9" t="n"/>
      <x:c r="Y41" s="9" t="n"/>
      <x:c r="Z41" s="9" t="n"/>
    </x:row>
    <x:row r="42" s="71" customFormat="1" ht="12" customHeight="1">
      <x:c r="A42" s="9" t="n"/>
      <x:c r="B42" s="9" t="n"/>
      <x:c r="C42" s="9" t="n"/>
      <x:c r="D42" s="9" t="n"/>
      <x:c r="E42" s="82" t="n"/>
      <x:c r="F42" s="9" t="n"/>
      <x:c r="G42" s="9" t="n"/>
      <x:c r="H42" s="9" t="n"/>
      <x:c r="I42" s="9" t="n"/>
      <x:c r="J42" s="9" t="n"/>
      <x:c r="K42" s="9" t="n"/>
      <x:c r="L42" s="9" t="n"/>
      <x:c r="M42" s="9" t="n"/>
      <x:c r="N42" s="9" t="n"/>
      <x:c r="O42" s="9" t="n"/>
      <x:c r="P42" s="9" t="n"/>
      <x:c r="Q42" s="9" t="n"/>
      <x:c r="R42" s="9" t="n"/>
      <x:c r="S42" s="9" t="n"/>
      <x:c r="T42" s="9" t="n"/>
      <x:c r="U42" s="9" t="n"/>
      <x:c r="V42" s="9" t="n"/>
      <x:c r="W42" s="9" t="n"/>
      <x:c r="X42" s="9" t="n"/>
      <x:c r="Y42" s="9" t="n"/>
      <x:c r="Z42" s="9" t="n"/>
    </x:row>
    <x:row r="43" s="71" customFormat="1" ht="12" customHeight="1">
      <x:c r="A43" s="24" t="inlineStr">
        <x:is>
          <x:t xml:space="preserve">I received the amount stated above and  the computation herein is conforme to me.</x:t>
        </x:is>
      </x:c>
      <x:c r="B43" s="9" t="n"/>
      <x:c r="C43" s="9" t="n"/>
      <x:c r="D43" s="9" t="n"/>
      <x:c r="E43" s="82" t="n"/>
      <x:c r="F43" s="9" t="n"/>
      <x:c r="G43" s="9" t="n"/>
      <x:c r="H43" s="9" t="n"/>
      <x:c r="I43" s="9" t="n"/>
      <x:c r="J43" s="9" t="n"/>
      <x:c r="K43" s="9" t="n"/>
      <x:c r="L43" s="9" t="n"/>
      <x:c r="M43" s="9" t="n"/>
      <x:c r="N43" s="9" t="n"/>
      <x:c r="O43" s="9" t="n"/>
      <x:c r="P43" s="9" t="n"/>
      <x:c r="Q43" s="9" t="n"/>
      <x:c r="R43" s="9" t="n"/>
      <x:c r="S43" s="9" t="n"/>
      <x:c r="T43" s="9" t="n"/>
      <x:c r="U43" s="9" t="n"/>
      <x:c r="V43" s="9" t="n"/>
      <x:c r="W43" s="9" t="n"/>
      <x:c r="X43" s="9" t="n"/>
      <x:c r="Y43" s="9" t="n"/>
      <x:c r="Z43" s="9" t="n"/>
    </x:row>
    <x:row r="44" s="71" customFormat="1" ht="12" hidden="1" customHeight="1">
      <x:c r="A44" s="24" t="n"/>
      <x:c r="B44" s="9" t="n"/>
      <x:c r="C44" s="9" t="n"/>
      <x:c r="D44" s="9" t="n"/>
      <x:c r="E44" s="82" t="n"/>
      <x:c r="F44" s="9" t="n"/>
      <x:c r="G44" s="9" t="n"/>
      <x:c r="H44" s="9" t="n"/>
      <x:c r="I44" s="9" t="n"/>
      <x:c r="J44" s="9" t="n"/>
      <x:c r="K44" s="9" t="n"/>
      <x:c r="L44" s="9" t="n"/>
      <x:c r="M44" s="9" t="n"/>
      <x:c r="N44" s="9" t="n"/>
      <x:c r="O44" s="9" t="n"/>
      <x:c r="P44" s="9" t="n"/>
      <x:c r="Q44" s="9" t="n"/>
      <x:c r="R44" s="9" t="n"/>
      <x:c r="S44" s="9" t="n"/>
      <x:c r="T44" s="9" t="n"/>
      <x:c r="U44" s="9" t="n"/>
      <x:c r="V44" s="9" t="n"/>
      <x:c r="W44" s="9" t="n"/>
      <x:c r="X44" s="9" t="n"/>
      <x:c r="Y44" s="9" t="n"/>
      <x:c r="Z44" s="9" t="n"/>
    </x:row>
    <x:row r="45" s="71" customFormat="1" ht="12" customHeight="1">
      <x:c r="A45" s="73" t="inlineStr">
        <x:is>
          <x:t xml:space="preserve">This is a computer generated document. No signature is required.</x:t>
        </x:is>
      </x:c>
      <x:c r="F45" s="9" t="n"/>
      <x:c r="G45" s="9" t="n"/>
      <x:c r="H45" s="9" t="n"/>
      <x:c r="I45" s="9" t="n"/>
      <x:c r="J45" s="9" t="n"/>
      <x:c r="K45" s="9" t="n"/>
      <x:c r="L45" s="9" t="n"/>
      <x:c r="M45" s="9" t="n"/>
      <x:c r="N45" s="9" t="n"/>
      <x:c r="O45" s="9" t="n"/>
      <x:c r="P45" s="9" t="n"/>
      <x:c r="Q45" s="9" t="n"/>
      <x:c r="R45" s="9" t="n"/>
      <x:c r="S45" s="9" t="n"/>
      <x:c r="T45" s="9" t="n"/>
      <x:c r="U45" s="9" t="n"/>
      <x:c r="V45" s="9" t="n"/>
      <x:c r="W45" s="9" t="n"/>
      <x:c r="X45" s="9" t="n"/>
      <x:c r="Y45" s="9" t="n"/>
      <x:c r="Z45" s="9" t="n"/>
    </x:row>
    <x:row r="46" s="71" customFormat="1" ht="12" customHeight="1">
      <x:c r="A46" s="9" t="n"/>
      <x:c r="B46" s="9" t="inlineStr">
        <x:is>
          <x:t xml:space="preserve">SIGNED BY:</x:t>
        </x:is>
      </x:c>
      <x:c r="C46" s="9" t="n"/>
      <x:c r="D46" s="9" t="n"/>
      <x:c r="E46" s="82" t="n"/>
      <x:c r="F46" s="9" t="n"/>
      <x:c r="G46" s="9" t="n"/>
      <x:c r="H46" s="9" t="n"/>
      <x:c r="I46" s="9" t="n"/>
      <x:c r="J46" s="9" t="n"/>
      <x:c r="K46" s="9" t="n"/>
      <x:c r="L46" s="9" t="n"/>
      <x:c r="M46" s="9" t="n"/>
      <x:c r="N46" s="9" t="n"/>
      <x:c r="O46" s="9" t="n"/>
      <x:c r="P46" s="9" t="n"/>
      <x:c r="Q46" s="9" t="n"/>
      <x:c r="R46" s="9" t="n"/>
      <x:c r="S46" s="9" t="n"/>
      <x:c r="T46" s="9" t="n"/>
      <x:c r="U46" s="9" t="n"/>
      <x:c r="V46" s="9" t="n"/>
      <x:c r="W46" s="9" t="n"/>
      <x:c r="X46" s="9" t="n"/>
      <x:c r="Y46" s="9" t="n"/>
      <x:c r="Z46" s="9" t="n"/>
    </x:row>
    <x:row r="47" s="71" customFormat="1" ht="15.75" customHeight="1">
      <x:c r="A47" s="9" t="n"/>
      <x:c r="B47" s="74" t="str">
        <x:f>A3</x:f>
        <x:v>Yendy Christian Sevilla </x:v>
      </x:c>
      <x:c r="C47" s="75" t="n"/>
      <x:c r="D47" s="75" t="n"/>
      <x:c r="E47" s="75" t="n"/>
      <x:c r="F47" s="9" t="n"/>
      <x:c r="G47" s="9" t="n"/>
      <x:c r="H47" s="9" t="n"/>
      <x:c r="I47" s="9" t="n"/>
      <x:c r="J47" s="9" t="n"/>
      <x:c r="K47" s="9" t="n"/>
      <x:c r="L47" s="9" t="n"/>
      <x:c r="M47" s="9" t="n"/>
      <x:c r="N47" s="9" t="n"/>
      <x:c r="O47" s="9" t="n"/>
      <x:c r="P47" s="9" t="n"/>
      <x:c r="Q47" s="9" t="n"/>
      <x:c r="R47" s="9" t="n"/>
      <x:c r="S47" s="9" t="n"/>
      <x:c r="T47" s="9" t="n"/>
      <x:c r="U47" s="9" t="n"/>
      <x:c r="V47" s="9" t="n"/>
      <x:c r="W47" s="9" t="n"/>
      <x:c r="X47" s="9" t="n"/>
      <x:c r="Y47" s="9" t="n"/>
      <x:c r="Z47" s="9" t="n"/>
    </x:row>
    <x:row r="48" s="71" customFormat="1" ht="12" customHeight="1">
      <x:c r="A48" s="9" t="n"/>
      <x:c r="B48" s="76" t="inlineStr">
        <x:is>
          <x:t xml:space="preserve">EMPLOYEE'S SIGNATURE</x:t>
        </x:is>
      </x:c>
      <x:c r="F48" s="9" t="n"/>
      <x:c r="G48" s="9" t="n"/>
      <x:c r="H48" s="9" t="n"/>
      <x:c r="I48" s="9" t="n"/>
      <x:c r="J48" s="9" t="n"/>
      <x:c r="K48" s="9" t="n"/>
      <x:c r="L48" s="9" t="n"/>
      <x:c r="M48" s="9" t="n"/>
      <x:c r="N48" s="9" t="n"/>
      <x:c r="O48" s="9" t="n"/>
      <x:c r="P48" s="9" t="n"/>
      <x:c r="Q48" s="9" t="n"/>
      <x:c r="R48" s="9" t="n"/>
      <x:c r="S48" s="9" t="n"/>
      <x:c r="T48" s="9" t="n"/>
      <x:c r="U48" s="9" t="n"/>
      <x:c r="V48" s="9" t="n"/>
      <x:c r="W48" s="9" t="n"/>
      <x:c r="X48" s="9" t="n"/>
      <x:c r="Y48" s="9" t="n"/>
      <x:c r="Z48" s="9" t="n"/>
    </x:row>
    <x:row r="49" s="71" customFormat="1" ht="12" customHeight="1">
      <x:c r="A49" s="9" t="n"/>
      <x:c r="B49" s="24" t="n"/>
      <x:c r="C49" s="9" t="n"/>
      <x:c r="D49" s="9" t="n"/>
      <x:c r="E49" s="82" t="n"/>
      <x:c r="F49" s="9" t="n"/>
      <x:c r="G49" s="9" t="n"/>
      <x:c r="H49" s="9" t="n"/>
      <x:c r="I49" s="9" t="n"/>
      <x:c r="J49" s="9" t="n"/>
      <x:c r="K49" s="9" t="n"/>
      <x:c r="L49" s="9" t="n"/>
      <x:c r="M49" s="9" t="n"/>
      <x:c r="N49" s="9" t="n"/>
      <x:c r="O49" s="9" t="n"/>
      <x:c r="P49" s="9" t="n"/>
      <x:c r="Q49" s="9" t="n"/>
      <x:c r="R49" s="9" t="n"/>
      <x:c r="S49" s="9" t="n"/>
      <x:c r="T49" s="9" t="n"/>
      <x:c r="U49" s="9" t="n"/>
      <x:c r="V49" s="9" t="n"/>
      <x:c r="W49" s="9" t="n"/>
      <x:c r="X49" s="9" t="n"/>
      <x:c r="Y49" s="9" t="n"/>
      <x:c r="Z49" s="9" t="n"/>
    </x:row>
    <x:row r="50" s="71" customFormat="1" ht="12" customHeight="1">
      <x:c r="A50" s="9" t="n"/>
      <x:c r="B50" s="9" t="n"/>
      <x:c r="C50" s="9" t="n"/>
      <x:c r="D50" s="9" t="n"/>
      <x:c r="E50" s="82" t="n"/>
      <x:c r="F50" s="9" t="n"/>
      <x:c r="G50" s="9" t="n"/>
      <x:c r="H50" s="9" t="n"/>
      <x:c r="I50" s="9" t="n"/>
      <x:c r="J50" s="9" t="n"/>
      <x:c r="K50" s="9" t="n"/>
      <x:c r="L50" s="9" t="n"/>
      <x:c r="M50" s="9" t="n"/>
      <x:c r="N50" s="9" t="n"/>
      <x:c r="O50" s="9" t="n"/>
      <x:c r="P50" s="9" t="n"/>
      <x:c r="Q50" s="9" t="n"/>
      <x:c r="R50" s="9" t="n"/>
      <x:c r="S50" s="9" t="n"/>
      <x:c r="T50" s="9" t="n"/>
      <x:c r="U50" s="9" t="n"/>
      <x:c r="V50" s="9" t="n"/>
      <x:c r="W50" s="9" t="n"/>
      <x:c r="X50" s="9" t="n"/>
      <x:c r="Y50" s="9" t="n"/>
      <x:c r="Z50" s="9" t="n"/>
    </x:row>
    <x:row r="51" s="71" customFormat="1" ht="12" customHeight="1">
      <x:c r="A51" s="9" t="n"/>
      <x:c r="B51" s="9" t="n"/>
      <x:c r="C51" s="9" t="n"/>
      <x:c r="D51" s="9" t="n"/>
      <x:c r="E51" s="82" t="n"/>
      <x:c r="F51" s="9" t="n"/>
      <x:c r="G51" s="9" t="n"/>
      <x:c r="H51" s="9" t="n"/>
      <x:c r="I51" s="9" t="n"/>
      <x:c r="J51" s="9" t="n"/>
      <x:c r="K51" s="9" t="n"/>
      <x:c r="L51" s="9" t="n"/>
      <x:c r="M51" s="9" t="n"/>
      <x:c r="N51" s="9" t="n"/>
      <x:c r="O51" s="9" t="n"/>
      <x:c r="P51" s="9" t="n"/>
      <x:c r="Q51" s="9" t="n"/>
      <x:c r="R51" s="9" t="n"/>
      <x:c r="S51" s="9" t="n"/>
      <x:c r="T51" s="9" t="n"/>
      <x:c r="U51" s="9" t="n"/>
      <x:c r="V51" s="9" t="n"/>
      <x:c r="W51" s="9" t="n"/>
      <x:c r="X51" s="9" t="n"/>
      <x:c r="Y51" s="9" t="n"/>
      <x:c r="Z51" s="9" t="n"/>
    </x:row>
    <x:row r="52" s="71" customFormat="1" ht="12" customHeight="1">
      <x:c r="A52" s="9" t="n"/>
      <x:c r="B52" s="9" t="n"/>
      <x:c r="C52" s="9" t="n"/>
      <x:c r="D52" s="9" t="n"/>
      <x:c r="E52" s="82" t="n"/>
      <x:c r="F52" s="9" t="n"/>
      <x:c r="G52" s="9" t="n"/>
      <x:c r="H52" s="9" t="n"/>
      <x:c r="I52" s="9" t="n"/>
      <x:c r="J52" s="9" t="n"/>
      <x:c r="K52" s="9" t="n"/>
      <x:c r="L52" s="9" t="n"/>
      <x:c r="M52" s="9" t="n"/>
      <x:c r="N52" s="9" t="n"/>
      <x:c r="O52" s="9" t="n"/>
      <x:c r="P52" s="9" t="n"/>
      <x:c r="Q52" s="9" t="n"/>
      <x:c r="R52" s="9" t="n"/>
      <x:c r="S52" s="9" t="n"/>
      <x:c r="T52" s="9" t="n"/>
      <x:c r="U52" s="9" t="n"/>
      <x:c r="V52" s="9" t="n"/>
      <x:c r="W52" s="9" t="n"/>
      <x:c r="X52" s="9" t="n"/>
      <x:c r="Y52" s="9" t="n"/>
      <x:c r="Z52" s="9" t="n"/>
    </x:row>
    <x:row r="53" s="71" customFormat="1" ht="12" customHeight="1">
      <x:c r="A53" s="9" t="n"/>
      <x:c r="B53" s="9" t="n"/>
      <x:c r="C53" s="9" t="n"/>
      <x:c r="D53" s="9" t="n"/>
      <x:c r="E53" s="82" t="n"/>
      <x:c r="F53" s="9" t="n"/>
      <x:c r="G53" s="9" t="n"/>
      <x:c r="H53" s="9" t="n"/>
      <x:c r="I53" s="9" t="n"/>
      <x:c r="J53" s="9" t="n"/>
      <x:c r="K53" s="9" t="n"/>
      <x:c r="L53" s="9" t="n"/>
      <x:c r="M53" s="9" t="n"/>
      <x:c r="N53" s="9" t="n"/>
      <x:c r="O53" s="9" t="n"/>
      <x:c r="P53" s="9" t="n"/>
      <x:c r="Q53" s="9" t="n"/>
      <x:c r="R53" s="9" t="n"/>
      <x:c r="S53" s="9" t="n"/>
      <x:c r="T53" s="9" t="n"/>
      <x:c r="U53" s="9" t="n"/>
      <x:c r="V53" s="9" t="n"/>
      <x:c r="W53" s="9" t="n"/>
      <x:c r="X53" s="9" t="n"/>
      <x:c r="Y53" s="9" t="n"/>
      <x:c r="Z53" s="9" t="n"/>
    </x:row>
    <x:row r="54" s="71" customFormat="1" ht="12" customHeight="1">
      <x:c r="A54" s="9" t="n"/>
      <x:c r="B54" s="9" t="n"/>
      <x:c r="C54" s="9" t="n"/>
      <x:c r="D54" s="9" t="n"/>
      <x:c r="E54" s="82" t="n"/>
      <x:c r="F54" s="9" t="n"/>
      <x:c r="G54" s="9" t="n"/>
      <x:c r="H54" s="9" t="n"/>
      <x:c r="I54" s="9" t="n"/>
      <x:c r="J54" s="9" t="n"/>
      <x:c r="K54" s="9" t="n"/>
      <x:c r="L54" s="9" t="n"/>
      <x:c r="M54" s="9" t="n"/>
      <x:c r="N54" s="9" t="n"/>
      <x:c r="O54" s="9" t="n"/>
      <x:c r="P54" s="9" t="n"/>
      <x:c r="Q54" s="9" t="n"/>
      <x:c r="R54" s="9" t="n"/>
      <x:c r="S54" s="9" t="n"/>
      <x:c r="T54" s="9" t="n"/>
      <x:c r="U54" s="9" t="n"/>
      <x:c r="V54" s="9" t="n"/>
      <x:c r="W54" s="9" t="n"/>
      <x:c r="X54" s="9" t="n"/>
      <x:c r="Y54" s="9" t="n"/>
      <x:c r="Z54" s="9" t="n"/>
    </x:row>
    <x:row r="55" s="71" customFormat="1" ht="12" customHeight="1">
      <x:c r="A55" s="9" t="n"/>
      <x:c r="B55" s="9" t="n"/>
      <x:c r="C55" s="9" t="n"/>
      <x:c r="D55" s="9" t="n"/>
      <x:c r="E55" s="82" t="n"/>
      <x:c r="F55" s="9" t="n"/>
      <x:c r="G55" s="9" t="n"/>
      <x:c r="H55" s="9" t="n"/>
      <x:c r="I55" s="9" t="n"/>
      <x:c r="J55" s="9" t="n"/>
      <x:c r="K55" s="9" t="n"/>
      <x:c r="L55" s="9" t="n"/>
      <x:c r="M55" s="9" t="n"/>
      <x:c r="N55" s="9" t="n"/>
      <x:c r="O55" s="9" t="n"/>
      <x:c r="P55" s="9" t="n"/>
      <x:c r="Q55" s="9" t="n"/>
      <x:c r="R55" s="9" t="n"/>
      <x:c r="S55" s="9" t="n"/>
      <x:c r="T55" s="9" t="n"/>
      <x:c r="U55" s="9" t="n"/>
      <x:c r="V55" s="9" t="n"/>
      <x:c r="W55" s="9" t="n"/>
      <x:c r="X55" s="9" t="n"/>
      <x:c r="Y55" s="9" t="n"/>
      <x:c r="Z55" s="9" t="n"/>
    </x:row>
    <x:row r="56" s="71" customFormat="1" ht="12" customHeight="1">
      <x:c r="A56" s="9" t="n"/>
      <x:c r="B56" s="9" t="n"/>
      <x:c r="C56" s="9" t="n"/>
      <x:c r="D56" s="9" t="n"/>
      <x:c r="E56" s="82" t="n"/>
      <x:c r="F56" s="9" t="n"/>
      <x:c r="G56" s="9" t="n"/>
      <x:c r="H56" s="9" t="n"/>
      <x:c r="I56" s="9" t="n"/>
      <x:c r="J56" s="9" t="n"/>
      <x:c r="K56" s="9" t="n"/>
      <x:c r="L56" s="9" t="n"/>
      <x:c r="M56" s="9" t="n"/>
      <x:c r="N56" s="9" t="n"/>
      <x:c r="O56" s="9" t="n"/>
      <x:c r="P56" s="9" t="n"/>
      <x:c r="Q56" s="9" t="n"/>
      <x:c r="R56" s="9" t="n"/>
      <x:c r="S56" s="9" t="n"/>
      <x:c r="T56" s="9" t="n"/>
      <x:c r="U56" s="9" t="n"/>
      <x:c r="V56" s="9" t="n"/>
      <x:c r="W56" s="9" t="n"/>
      <x:c r="X56" s="9" t="n"/>
      <x:c r="Y56" s="9" t="n"/>
      <x:c r="Z56" s="9" t="n"/>
    </x:row>
    <x:row r="57" s="71" customFormat="1" ht="12" customHeight="1">
      <x:c r="A57" s="9" t="n"/>
      <x:c r="B57" s="9" t="n"/>
      <x:c r="C57" s="9" t="n"/>
      <x:c r="D57" s="9" t="n"/>
      <x:c r="E57" s="82" t="n"/>
      <x:c r="F57" s="9" t="n"/>
      <x:c r="G57" s="9" t="n"/>
      <x:c r="H57" s="9" t="n"/>
      <x:c r="I57" s="9" t="n"/>
      <x:c r="J57" s="9" t="n"/>
      <x:c r="K57" s="9" t="n"/>
      <x:c r="L57" s="9" t="n"/>
      <x:c r="M57" s="9" t="n"/>
      <x:c r="N57" s="9" t="n"/>
      <x:c r="O57" s="9" t="n"/>
      <x:c r="P57" s="9" t="n"/>
      <x:c r="Q57" s="9" t="n"/>
      <x:c r="R57" s="9" t="n"/>
      <x:c r="S57" s="9" t="n"/>
      <x:c r="T57" s="9" t="n"/>
      <x:c r="U57" s="9" t="n"/>
      <x:c r="V57" s="9" t="n"/>
      <x:c r="W57" s="9" t="n"/>
      <x:c r="X57" s="9" t="n"/>
      <x:c r="Y57" s="9" t="n"/>
      <x:c r="Z57" s="9" t="n"/>
    </x:row>
    <x:row r="58" s="71" customFormat="1" ht="12" customHeight="1">
      <x:c r="A58" s="9" t="n"/>
      <x:c r="B58" s="9" t="n"/>
      <x:c r="C58" s="9" t="n"/>
      <x:c r="D58" s="9" t="n"/>
      <x:c r="E58" s="82" t="n"/>
      <x:c r="F58" s="9" t="n"/>
      <x:c r="G58" s="9" t="n"/>
      <x:c r="H58" s="9" t="n"/>
      <x:c r="I58" s="9" t="n"/>
      <x:c r="J58" s="9" t="n"/>
      <x:c r="K58" s="9" t="n"/>
      <x:c r="L58" s="9" t="n"/>
      <x:c r="M58" s="9" t="n"/>
      <x:c r="N58" s="9" t="n"/>
      <x:c r="O58" s="9" t="n"/>
      <x:c r="P58" s="9" t="n"/>
      <x:c r="Q58" s="9" t="n"/>
      <x:c r="R58" s="9" t="n"/>
      <x:c r="S58" s="9" t="n"/>
      <x:c r="T58" s="9" t="n"/>
      <x:c r="U58" s="9" t="n"/>
      <x:c r="V58" s="9" t="n"/>
      <x:c r="W58" s="9" t="n"/>
      <x:c r="X58" s="9" t="n"/>
      <x:c r="Y58" s="9" t="n"/>
      <x:c r="Z58" s="9" t="n"/>
    </x:row>
    <x:row r="59" s="71" customFormat="1" ht="12" customHeight="1">
      <x:c r="A59" s="9" t="n"/>
      <x:c r="B59" s="9" t="n"/>
      <x:c r="C59" s="9" t="n"/>
      <x:c r="D59" s="9" t="n"/>
      <x:c r="E59" s="82" t="n"/>
      <x:c r="F59" s="9" t="n"/>
      <x:c r="G59" s="9" t="n"/>
      <x:c r="H59" s="9" t="n"/>
      <x:c r="I59" s="9" t="n"/>
      <x:c r="J59" s="9" t="n"/>
      <x:c r="K59" s="9" t="n"/>
      <x:c r="L59" s="9" t="n"/>
      <x:c r="M59" s="9" t="n"/>
      <x:c r="N59" s="9" t="n"/>
      <x:c r="O59" s="9" t="n"/>
      <x:c r="P59" s="9" t="n"/>
      <x:c r="Q59" s="9" t="n"/>
      <x:c r="R59" s="9" t="n"/>
      <x:c r="S59" s="9" t="n"/>
      <x:c r="T59" s="9" t="n"/>
      <x:c r="U59" s="9" t="n"/>
      <x:c r="V59" s="9" t="n"/>
      <x:c r="W59" s="9" t="n"/>
      <x:c r="X59" s="9" t="n"/>
      <x:c r="Y59" s="9" t="n"/>
      <x:c r="Z59" s="9" t="n"/>
    </x:row>
    <x:row r="60" s="71" customFormat="1" ht="12" customHeight="1">
      <x:c r="A60" s="9" t="n"/>
      <x:c r="B60" s="9" t="n"/>
      <x:c r="C60" s="9" t="n"/>
      <x:c r="D60" s="9" t="n"/>
      <x:c r="E60" s="82" t="n"/>
      <x:c r="F60" s="9" t="n"/>
      <x:c r="G60" s="9" t="n"/>
      <x:c r="H60" s="9" t="n"/>
      <x:c r="I60" s="9" t="n"/>
      <x:c r="J60" s="9" t="n"/>
      <x:c r="K60" s="9" t="n"/>
      <x:c r="L60" s="9" t="n"/>
      <x:c r="M60" s="9" t="n"/>
      <x:c r="N60" s="9" t="n"/>
      <x:c r="O60" s="9" t="n"/>
      <x:c r="P60" s="9" t="n"/>
      <x:c r="Q60" s="9" t="n"/>
      <x:c r="R60" s="9" t="n"/>
      <x:c r="S60" s="9" t="n"/>
      <x:c r="T60" s="9" t="n"/>
      <x:c r="U60" s="9" t="n"/>
      <x:c r="V60" s="9" t="n"/>
      <x:c r="W60" s="9" t="n"/>
      <x:c r="X60" s="9" t="n"/>
      <x:c r="Y60" s="9" t="n"/>
      <x:c r="Z60" s="9" t="n"/>
    </x:row>
    <x:row r="61" s="71" customFormat="1" ht="12" customHeight="1">
      <x:c r="A61" s="9" t="n"/>
      <x:c r="B61" s="9" t="n"/>
      <x:c r="C61" s="9" t="n"/>
      <x:c r="D61" s="9" t="n"/>
      <x:c r="E61" s="82" t="n"/>
      <x:c r="F61" s="9" t="n"/>
      <x:c r="G61" s="9" t="n"/>
      <x:c r="H61" s="9" t="n"/>
      <x:c r="I61" s="9" t="n"/>
      <x:c r="J61" s="9" t="n"/>
      <x:c r="K61" s="9" t="n"/>
      <x:c r="L61" s="9" t="n"/>
      <x:c r="M61" s="9" t="n"/>
      <x:c r="N61" s="9" t="n"/>
      <x:c r="O61" s="9" t="n"/>
      <x:c r="P61" s="9" t="n"/>
      <x:c r="Q61" s="9" t="n"/>
      <x:c r="R61" s="9" t="n"/>
      <x:c r="S61" s="9" t="n"/>
      <x:c r="T61" s="9" t="n"/>
      <x:c r="U61" s="9" t="n"/>
      <x:c r="V61" s="9" t="n"/>
      <x:c r="W61" s="9" t="n"/>
      <x:c r="X61" s="9" t="n"/>
      <x:c r="Y61" s="9" t="n"/>
      <x:c r="Z61" s="9" t="n"/>
    </x:row>
    <x:row r="62" s="71" customFormat="1" ht="12" customHeight="1">
      <x:c r="A62" s="9" t="n"/>
      <x:c r="B62" s="9" t="n"/>
      <x:c r="C62" s="9" t="n"/>
      <x:c r="D62" s="9" t="n"/>
      <x:c r="E62" s="82" t="n"/>
      <x:c r="F62" s="9" t="n"/>
      <x:c r="G62" s="9" t="n"/>
      <x:c r="H62" s="9" t="n"/>
      <x:c r="I62" s="9" t="n"/>
      <x:c r="J62" s="9" t="n"/>
      <x:c r="K62" s="9" t="n"/>
      <x:c r="L62" s="9" t="n"/>
      <x:c r="M62" s="9" t="n"/>
      <x:c r="N62" s="9" t="n"/>
      <x:c r="O62" s="9" t="n"/>
      <x:c r="P62" s="9" t="n"/>
      <x:c r="Q62" s="9" t="n"/>
      <x:c r="R62" s="9" t="n"/>
      <x:c r="S62" s="9" t="n"/>
      <x:c r="T62" s="9" t="n"/>
      <x:c r="U62" s="9" t="n"/>
      <x:c r="V62" s="9" t="n"/>
      <x:c r="W62" s="9" t="n"/>
      <x:c r="X62" s="9" t="n"/>
      <x:c r="Y62" s="9" t="n"/>
      <x:c r="Z62" s="9" t="n"/>
    </x:row>
    <x:row r="63" s="71" customFormat="1" ht="12" customHeight="1">
      <x:c r="A63" s="9" t="n"/>
      <x:c r="B63" s="9" t="n"/>
      <x:c r="C63" s="9" t="n"/>
      <x:c r="D63" s="9" t="n"/>
      <x:c r="E63" s="82" t="n"/>
      <x:c r="F63" s="9" t="n"/>
      <x:c r="G63" s="9" t="n"/>
      <x:c r="H63" s="9" t="n"/>
      <x:c r="I63" s="9" t="n"/>
      <x:c r="J63" s="9" t="n"/>
      <x:c r="K63" s="9" t="n"/>
      <x:c r="L63" s="9" t="n"/>
      <x:c r="M63" s="9" t="n"/>
      <x:c r="N63" s="9" t="n"/>
      <x:c r="O63" s="9" t="n"/>
      <x:c r="P63" s="9" t="n"/>
      <x:c r="Q63" s="9" t="n"/>
      <x:c r="R63" s="9" t="n"/>
      <x:c r="S63" s="9" t="n"/>
      <x:c r="T63" s="9" t="n"/>
      <x:c r="U63" s="9" t="n"/>
      <x:c r="V63" s="9" t="n"/>
      <x:c r="W63" s="9" t="n"/>
      <x:c r="X63" s="9" t="n"/>
      <x:c r="Y63" s="9" t="n"/>
      <x:c r="Z63" s="9" t="n"/>
    </x:row>
    <x:row r="64" s="71" customFormat="1" ht="12" customHeight="1">
      <x:c r="A64" s="9" t="n"/>
      <x:c r="B64" s="9" t="n"/>
      <x:c r="C64" s="9" t="n"/>
      <x:c r="D64" s="9" t="n"/>
      <x:c r="E64" s="82" t="n"/>
      <x:c r="F64" s="9" t="n"/>
      <x:c r="G64" s="9" t="n"/>
      <x:c r="H64" s="9" t="n"/>
      <x:c r="I64" s="9" t="n"/>
      <x:c r="J64" s="9" t="n"/>
      <x:c r="K64" s="9" t="n"/>
      <x:c r="L64" s="9" t="n"/>
      <x:c r="M64" s="9" t="n"/>
      <x:c r="N64" s="9" t="n"/>
      <x:c r="O64" s="9" t="n"/>
      <x:c r="P64" s="9" t="n"/>
      <x:c r="Q64" s="9" t="n"/>
      <x:c r="R64" s="9" t="n"/>
      <x:c r="S64" s="9" t="n"/>
      <x:c r="T64" s="9" t="n"/>
      <x:c r="U64" s="9" t="n"/>
      <x:c r="V64" s="9" t="n"/>
      <x:c r="W64" s="9" t="n"/>
      <x:c r="X64" s="9" t="n"/>
      <x:c r="Y64" s="9" t="n"/>
      <x:c r="Z64" s="9" t="n"/>
    </x:row>
    <x:row r="65" s="71" customFormat="1" ht="12" customHeight="1">
      <x:c r="A65" s="9" t="n"/>
      <x:c r="B65" s="9" t="n"/>
      <x:c r="C65" s="9" t="n"/>
      <x:c r="D65" s="9" t="n"/>
      <x:c r="E65" s="82" t="n"/>
      <x:c r="F65" s="9" t="n"/>
      <x:c r="G65" s="9" t="n"/>
      <x:c r="H65" s="9" t="n"/>
      <x:c r="I65" s="9" t="n"/>
      <x:c r="J65" s="9" t="n"/>
      <x:c r="K65" s="9" t="n"/>
      <x:c r="L65" s="9" t="n"/>
      <x:c r="M65" s="9" t="n"/>
      <x:c r="N65" s="9" t="n"/>
      <x:c r="O65" s="9" t="n"/>
      <x:c r="P65" s="9" t="n"/>
      <x:c r="Q65" s="9" t="n"/>
      <x:c r="R65" s="9" t="n"/>
      <x:c r="S65" s="9" t="n"/>
      <x:c r="T65" s="9" t="n"/>
      <x:c r="U65" s="9" t="n"/>
      <x:c r="V65" s="9" t="n"/>
      <x:c r="W65" s="9" t="n"/>
      <x:c r="X65" s="9" t="n"/>
      <x:c r="Y65" s="9" t="n"/>
      <x:c r="Z65" s="9" t="n"/>
    </x:row>
    <x:row r="66" s="71" customFormat="1" ht="12" customHeight="1">
      <x:c r="A66" s="9" t="n"/>
      <x:c r="B66" s="9" t="n"/>
      <x:c r="C66" s="9" t="n"/>
      <x:c r="D66" s="9" t="n"/>
      <x:c r="E66" s="82" t="n"/>
      <x:c r="F66" s="9" t="n"/>
      <x:c r="G66" s="9" t="n"/>
      <x:c r="H66" s="9" t="n"/>
      <x:c r="I66" s="9" t="n"/>
      <x:c r="J66" s="9" t="n"/>
      <x:c r="K66" s="9" t="n"/>
      <x:c r="L66" s="9" t="n"/>
      <x:c r="M66" s="9" t="n"/>
      <x:c r="N66" s="9" t="n"/>
      <x:c r="O66" s="9" t="n"/>
      <x:c r="P66" s="9" t="n"/>
      <x:c r="Q66" s="9" t="n"/>
      <x:c r="R66" s="9" t="n"/>
      <x:c r="S66" s="9" t="n"/>
      <x:c r="T66" s="9" t="n"/>
      <x:c r="U66" s="9" t="n"/>
      <x:c r="V66" s="9" t="n"/>
      <x:c r="W66" s="9" t="n"/>
      <x:c r="X66" s="9" t="n"/>
      <x:c r="Y66" s="9" t="n"/>
      <x:c r="Z66" s="9" t="n"/>
    </x:row>
    <x:row r="67" s="71" customFormat="1" ht="12" customHeight="1">
      <x:c r="A67" s="9" t="n"/>
      <x:c r="B67" s="9" t="n"/>
      <x:c r="C67" s="9" t="n"/>
      <x:c r="D67" s="9" t="n"/>
      <x:c r="E67" s="82" t="n"/>
      <x:c r="F67" s="9" t="n"/>
      <x:c r="G67" s="9" t="n"/>
      <x:c r="H67" s="9" t="n"/>
      <x:c r="I67" s="9" t="n"/>
      <x:c r="J67" s="9" t="n"/>
      <x:c r="K67" s="9" t="n"/>
      <x:c r="L67" s="9" t="n"/>
      <x:c r="M67" s="9" t="n"/>
      <x:c r="N67" s="9" t="n"/>
      <x:c r="O67" s="9" t="n"/>
      <x:c r="P67" s="9" t="n"/>
      <x:c r="Q67" s="9" t="n"/>
      <x:c r="R67" s="9" t="n"/>
      <x:c r="S67" s="9" t="n"/>
      <x:c r="T67" s="9" t="n"/>
      <x:c r="U67" s="9" t="n"/>
      <x:c r="V67" s="9" t="n"/>
      <x:c r="W67" s="9" t="n"/>
      <x:c r="X67" s="9" t="n"/>
      <x:c r="Y67" s="9" t="n"/>
      <x:c r="Z67" s="9" t="n"/>
    </x:row>
    <x:row r="68" s="71" customFormat="1" ht="12" customHeight="1">
      <x:c r="A68" s="9" t="n"/>
      <x:c r="B68" s="9" t="n"/>
      <x:c r="C68" s="9" t="n"/>
      <x:c r="D68" s="9" t="n"/>
      <x:c r="E68" s="82" t="n"/>
      <x:c r="F68" s="9" t="n"/>
      <x:c r="G68" s="9" t="n"/>
      <x:c r="H68" s="9" t="n"/>
      <x:c r="I68" s="9" t="n"/>
      <x:c r="J68" s="9" t="n"/>
      <x:c r="K68" s="9" t="n"/>
      <x:c r="L68" s="9" t="n"/>
      <x:c r="M68" s="9" t="n"/>
      <x:c r="N68" s="9" t="n"/>
      <x:c r="O68" s="9" t="n"/>
      <x:c r="P68" s="9" t="n"/>
      <x:c r="Q68" s="9" t="n"/>
      <x:c r="R68" s="9" t="n"/>
      <x:c r="S68" s="9" t="n"/>
      <x:c r="T68" s="9" t="n"/>
      <x:c r="U68" s="9" t="n"/>
      <x:c r="V68" s="9" t="n"/>
      <x:c r="W68" s="9" t="n"/>
      <x:c r="X68" s="9" t="n"/>
      <x:c r="Y68" s="9" t="n"/>
      <x:c r="Z68" s="9" t="n"/>
    </x:row>
    <x:row r="69" s="71" customFormat="1" ht="12" customHeight="1">
      <x:c r="A69" s="9" t="n"/>
      <x:c r="B69" s="9" t="n"/>
      <x:c r="C69" s="9" t="n"/>
      <x:c r="D69" s="9" t="n"/>
      <x:c r="E69" s="82" t="n"/>
      <x:c r="F69" s="9" t="n"/>
      <x:c r="G69" s="9" t="n"/>
      <x:c r="H69" s="9" t="n"/>
      <x:c r="I69" s="9" t="n"/>
      <x:c r="J69" s="9" t="n"/>
      <x:c r="K69" s="9" t="n"/>
      <x:c r="L69" s="9" t="n"/>
      <x:c r="M69" s="9" t="n"/>
      <x:c r="N69" s="9" t="n"/>
      <x:c r="O69" s="9" t="n"/>
      <x:c r="P69" s="9" t="n"/>
      <x:c r="Q69" s="9" t="n"/>
      <x:c r="R69" s="9" t="n"/>
      <x:c r="S69" s="9" t="n"/>
      <x:c r="T69" s="9" t="n"/>
      <x:c r="U69" s="9" t="n"/>
      <x:c r="V69" s="9" t="n"/>
      <x:c r="W69" s="9" t="n"/>
      <x:c r="X69" s="9" t="n"/>
      <x:c r="Y69" s="9" t="n"/>
      <x:c r="Z69" s="9" t="n"/>
    </x:row>
    <x:row r="70" s="71" customFormat="1" ht="12" customHeight="1">
      <x:c r="A70" s="9" t="n"/>
      <x:c r="B70" s="9" t="n"/>
      <x:c r="C70" s="9" t="n"/>
      <x:c r="D70" s="9" t="n"/>
      <x:c r="E70" s="82" t="n"/>
      <x:c r="F70" s="9" t="n"/>
      <x:c r="G70" s="9" t="n"/>
      <x:c r="H70" s="9" t="n"/>
      <x:c r="I70" s="9" t="n"/>
      <x:c r="J70" s="9" t="n"/>
      <x:c r="K70" s="9" t="n"/>
      <x:c r="L70" s="9" t="n"/>
      <x:c r="M70" s="9" t="n"/>
      <x:c r="N70" s="9" t="n"/>
      <x:c r="O70" s="9" t="n"/>
      <x:c r="P70" s="9" t="n"/>
      <x:c r="Q70" s="9" t="n"/>
      <x:c r="R70" s="9" t="n"/>
      <x:c r="S70" s="9" t="n"/>
      <x:c r="T70" s="9" t="n"/>
      <x:c r="U70" s="9" t="n"/>
      <x:c r="V70" s="9" t="n"/>
      <x:c r="W70" s="9" t="n"/>
      <x:c r="X70" s="9" t="n"/>
      <x:c r="Y70" s="9" t="n"/>
      <x:c r="Z70" s="9" t="n"/>
    </x:row>
    <x:row r="71" s="71" customFormat="1" ht="12" customHeight="1">
      <x:c r="A71" s="9" t="n"/>
      <x:c r="B71" s="9" t="n"/>
      <x:c r="C71" s="9" t="n"/>
      <x:c r="D71" s="9" t="n"/>
      <x:c r="E71" s="82" t="n"/>
      <x:c r="F71" s="9" t="n"/>
      <x:c r="G71" s="9" t="n"/>
      <x:c r="H71" s="9" t="n"/>
      <x:c r="I71" s="9" t="n"/>
      <x:c r="J71" s="9" t="n"/>
      <x:c r="K71" s="9" t="n"/>
      <x:c r="L71" s="9" t="n"/>
      <x:c r="M71" s="9" t="n"/>
      <x:c r="N71" s="9" t="n"/>
      <x:c r="O71" s="9" t="n"/>
      <x:c r="P71" s="9" t="n"/>
      <x:c r="Q71" s="9" t="n"/>
      <x:c r="R71" s="9" t="n"/>
      <x:c r="S71" s="9" t="n"/>
      <x:c r="T71" s="9" t="n"/>
      <x:c r="U71" s="9" t="n"/>
      <x:c r="V71" s="9" t="n"/>
      <x:c r="W71" s="9" t="n"/>
      <x:c r="X71" s="9" t="n"/>
      <x:c r="Y71" s="9" t="n"/>
      <x:c r="Z71" s="9" t="n"/>
    </x:row>
    <x:row r="72" s="71" customFormat="1" ht="12" customHeight="1">
      <x:c r="A72" s="9" t="n"/>
      <x:c r="B72" s="9" t="n"/>
      <x:c r="C72" s="9" t="n"/>
      <x:c r="D72" s="9" t="n"/>
      <x:c r="E72" s="82" t="n"/>
      <x:c r="F72" s="9" t="n"/>
      <x:c r="G72" s="9" t="n"/>
      <x:c r="H72" s="9" t="n"/>
      <x:c r="I72" s="9" t="n"/>
      <x:c r="J72" s="9" t="n"/>
      <x:c r="K72" s="9" t="n"/>
      <x:c r="L72" s="9" t="n"/>
      <x:c r="M72" s="9" t="n"/>
      <x:c r="N72" s="9" t="n"/>
      <x:c r="O72" s="9" t="n"/>
      <x:c r="P72" s="9" t="n"/>
      <x:c r="Q72" s="9" t="n"/>
      <x:c r="R72" s="9" t="n"/>
      <x:c r="S72" s="9" t="n"/>
      <x:c r="T72" s="9" t="n"/>
      <x:c r="U72" s="9" t="n"/>
      <x:c r="V72" s="9" t="n"/>
      <x:c r="W72" s="9" t="n"/>
      <x:c r="X72" s="9" t="n"/>
      <x:c r="Y72" s="9" t="n"/>
      <x:c r="Z72" s="9" t="n"/>
    </x:row>
    <x:row r="73" s="71" customFormat="1" ht="12" customHeight="1">
      <x:c r="A73" s="9" t="n"/>
      <x:c r="B73" s="9" t="n"/>
      <x:c r="C73" s="9" t="n"/>
      <x:c r="D73" s="9" t="n"/>
      <x:c r="E73" s="82" t="n"/>
      <x:c r="F73" s="9" t="n"/>
      <x:c r="G73" s="9" t="n"/>
      <x:c r="H73" s="9" t="n"/>
      <x:c r="I73" s="9" t="n"/>
      <x:c r="J73" s="9" t="n"/>
      <x:c r="K73" s="9" t="n"/>
      <x:c r="L73" s="9" t="n"/>
      <x:c r="M73" s="9" t="n"/>
      <x:c r="N73" s="9" t="n"/>
      <x:c r="O73" s="9" t="n"/>
      <x:c r="P73" s="9" t="n"/>
      <x:c r="Q73" s="9" t="n"/>
      <x:c r="R73" s="9" t="n"/>
      <x:c r="S73" s="9" t="n"/>
      <x:c r="T73" s="9" t="n"/>
      <x:c r="U73" s="9" t="n"/>
      <x:c r="V73" s="9" t="n"/>
      <x:c r="W73" s="9" t="n"/>
      <x:c r="X73" s="9" t="n"/>
      <x:c r="Y73" s="9" t="n"/>
      <x:c r="Z73" s="9" t="n"/>
    </x:row>
    <x:row r="74" s="71" customFormat="1" ht="12" customHeight="1">
      <x:c r="A74" s="9" t="n"/>
      <x:c r="B74" s="9" t="n"/>
      <x:c r="C74" s="9" t="n"/>
      <x:c r="D74" s="9" t="n"/>
      <x:c r="E74" s="82" t="n"/>
      <x:c r="F74" s="9" t="n"/>
      <x:c r="G74" s="9" t="n"/>
      <x:c r="H74" s="9" t="n"/>
      <x:c r="I74" s="9" t="n"/>
      <x:c r="J74" s="9" t="n"/>
      <x:c r="K74" s="9" t="n"/>
      <x:c r="L74" s="9" t="n"/>
      <x:c r="M74" s="9" t="n"/>
      <x:c r="N74" s="9" t="n"/>
      <x:c r="O74" s="9" t="n"/>
      <x:c r="P74" s="9" t="n"/>
      <x:c r="Q74" s="9" t="n"/>
      <x:c r="R74" s="9" t="n"/>
      <x:c r="S74" s="9" t="n"/>
      <x:c r="T74" s="9" t="n"/>
      <x:c r="U74" s="9" t="n"/>
      <x:c r="V74" s="9" t="n"/>
      <x:c r="W74" s="9" t="n"/>
      <x:c r="X74" s="9" t="n"/>
      <x:c r="Y74" s="9" t="n"/>
      <x:c r="Z74" s="9" t="n"/>
    </x:row>
    <x:row r="75" s="71" customFormat="1" ht="12" customHeight="1">
      <x:c r="A75" s="9" t="n"/>
      <x:c r="B75" s="9" t="n"/>
      <x:c r="C75" s="9" t="n"/>
      <x:c r="D75" s="9" t="n"/>
      <x:c r="E75" s="82" t="n"/>
      <x:c r="F75" s="9" t="n"/>
      <x:c r="G75" s="9" t="n"/>
      <x:c r="H75" s="9" t="n"/>
      <x:c r="I75" s="9" t="n"/>
      <x:c r="J75" s="9" t="n"/>
      <x:c r="K75" s="9" t="n"/>
      <x:c r="L75" s="9" t="n"/>
      <x:c r="M75" s="9" t="n"/>
      <x:c r="N75" s="9" t="n"/>
      <x:c r="O75" s="9" t="n"/>
      <x:c r="P75" s="9" t="n"/>
      <x:c r="Q75" s="9" t="n"/>
      <x:c r="R75" s="9" t="n"/>
      <x:c r="S75" s="9" t="n"/>
      <x:c r="T75" s="9" t="n"/>
      <x:c r="U75" s="9" t="n"/>
      <x:c r="V75" s="9" t="n"/>
      <x:c r="W75" s="9" t="n"/>
      <x:c r="X75" s="9" t="n"/>
      <x:c r="Y75" s="9" t="n"/>
      <x:c r="Z75" s="9" t="n"/>
    </x:row>
    <x:row r="76" s="71" customFormat="1" ht="12" customHeight="1">
      <x:c r="A76" s="9" t="n"/>
      <x:c r="B76" s="9" t="n"/>
      <x:c r="C76" s="9" t="n"/>
      <x:c r="D76" s="9" t="n"/>
      <x:c r="E76" s="82" t="n"/>
      <x:c r="F76" s="9" t="n"/>
      <x:c r="G76" s="9" t="n"/>
      <x:c r="H76" s="9" t="n"/>
      <x:c r="I76" s="9" t="n"/>
      <x:c r="J76" s="9" t="n"/>
      <x:c r="K76" s="9" t="n"/>
      <x:c r="L76" s="9" t="n"/>
      <x:c r="M76" s="9" t="n"/>
      <x:c r="N76" s="9" t="n"/>
      <x:c r="O76" s="9" t="n"/>
      <x:c r="P76" s="9" t="n"/>
      <x:c r="Q76" s="9" t="n"/>
      <x:c r="R76" s="9" t="n"/>
      <x:c r="S76" s="9" t="n"/>
      <x:c r="T76" s="9" t="n"/>
      <x:c r="U76" s="9" t="n"/>
      <x:c r="V76" s="9" t="n"/>
      <x:c r="W76" s="9" t="n"/>
      <x:c r="X76" s="9" t="n"/>
      <x:c r="Y76" s="9" t="n"/>
      <x:c r="Z76" s="9" t="n"/>
    </x:row>
    <x:row r="77" s="71" customFormat="1" ht="12" customHeight="1">
      <x:c r="A77" s="9" t="n"/>
      <x:c r="B77" s="9" t="n"/>
      <x:c r="C77" s="9" t="n"/>
      <x:c r="D77" s="9" t="n"/>
      <x:c r="E77" s="82" t="n"/>
      <x:c r="F77" s="9" t="n"/>
      <x:c r="G77" s="9" t="n"/>
      <x:c r="H77" s="9" t="n"/>
      <x:c r="I77" s="9" t="n"/>
      <x:c r="J77" s="9" t="n"/>
      <x:c r="K77" s="9" t="n"/>
      <x:c r="L77" s="9" t="n"/>
      <x:c r="M77" s="9" t="n"/>
      <x:c r="N77" s="9" t="n"/>
      <x:c r="O77" s="9" t="n"/>
      <x:c r="P77" s="9" t="n"/>
      <x:c r="Q77" s="9" t="n"/>
      <x:c r="R77" s="9" t="n"/>
      <x:c r="S77" s="9" t="n"/>
      <x:c r="T77" s="9" t="n"/>
      <x:c r="U77" s="9" t="n"/>
      <x:c r="V77" s="9" t="n"/>
      <x:c r="W77" s="9" t="n"/>
      <x:c r="X77" s="9" t="n"/>
      <x:c r="Y77" s="9" t="n"/>
      <x:c r="Z77" s="9" t="n"/>
    </x:row>
    <x:row r="78" s="71" customFormat="1" ht="12" customHeight="1">
      <x:c r="A78" s="9" t="n"/>
      <x:c r="B78" s="9" t="n"/>
      <x:c r="C78" s="9" t="n"/>
      <x:c r="D78" s="9" t="n"/>
      <x:c r="E78" s="82" t="n"/>
      <x:c r="F78" s="9" t="n"/>
      <x:c r="G78" s="9" t="n"/>
      <x:c r="H78" s="9" t="n"/>
      <x:c r="I78" s="9" t="n"/>
      <x:c r="J78" s="9" t="n"/>
      <x:c r="K78" s="9" t="n"/>
      <x:c r="L78" s="9" t="n"/>
      <x:c r="M78" s="9" t="n"/>
      <x:c r="N78" s="9" t="n"/>
      <x:c r="O78" s="9" t="n"/>
      <x:c r="P78" s="9" t="n"/>
      <x:c r="Q78" s="9" t="n"/>
      <x:c r="R78" s="9" t="n"/>
      <x:c r="S78" s="9" t="n"/>
      <x:c r="T78" s="9" t="n"/>
      <x:c r="U78" s="9" t="n"/>
      <x:c r="V78" s="9" t="n"/>
      <x:c r="W78" s="9" t="n"/>
      <x:c r="X78" s="9" t="n"/>
      <x:c r="Y78" s="9" t="n"/>
      <x:c r="Z78" s="9" t="n"/>
    </x:row>
    <x:row r="79" s="71" customFormat="1" ht="12" customHeight="1">
      <x:c r="A79" s="9" t="n"/>
      <x:c r="B79" s="9" t="n"/>
      <x:c r="C79" s="9" t="n"/>
      <x:c r="D79" s="9" t="n"/>
      <x:c r="E79" s="82" t="n"/>
      <x:c r="F79" s="9" t="n"/>
      <x:c r="G79" s="9" t="n"/>
      <x:c r="H79" s="9" t="n"/>
      <x:c r="I79" s="9" t="n"/>
      <x:c r="J79" s="9" t="n"/>
      <x:c r="K79" s="9" t="n"/>
      <x:c r="L79" s="9" t="n"/>
      <x:c r="M79" s="9" t="n"/>
      <x:c r="N79" s="9" t="n"/>
      <x:c r="O79" s="9" t="n"/>
      <x:c r="P79" s="9" t="n"/>
      <x:c r="Q79" s="9" t="n"/>
      <x:c r="R79" s="9" t="n"/>
      <x:c r="S79" s="9" t="n"/>
      <x:c r="T79" s="9" t="n"/>
      <x:c r="U79" s="9" t="n"/>
      <x:c r="V79" s="9" t="n"/>
      <x:c r="W79" s="9" t="n"/>
      <x:c r="X79" s="9" t="n"/>
      <x:c r="Y79" s="9" t="n"/>
      <x:c r="Z79" s="9" t="n"/>
    </x:row>
    <x:row r="80" s="71" customFormat="1" ht="12" customHeight="1">
      <x:c r="A80" s="9" t="n"/>
      <x:c r="B80" s="9" t="n"/>
      <x:c r="C80" s="9" t="n"/>
      <x:c r="D80" s="9" t="n"/>
      <x:c r="E80" s="82" t="n"/>
      <x:c r="F80" s="9" t="n"/>
      <x:c r="G80" s="9" t="n"/>
      <x:c r="H80" s="9" t="n"/>
      <x:c r="I80" s="9" t="n"/>
      <x:c r="J80" s="9" t="n"/>
      <x:c r="K80" s="9" t="n"/>
      <x:c r="L80" s="9" t="n"/>
      <x:c r="M80" s="9" t="n"/>
      <x:c r="N80" s="9" t="n"/>
      <x:c r="O80" s="9" t="n"/>
      <x:c r="P80" s="9" t="n"/>
      <x:c r="Q80" s="9" t="n"/>
      <x:c r="R80" s="9" t="n"/>
      <x:c r="S80" s="9" t="n"/>
      <x:c r="T80" s="9" t="n"/>
      <x:c r="U80" s="9" t="n"/>
      <x:c r="V80" s="9" t="n"/>
      <x:c r="W80" s="9" t="n"/>
      <x:c r="X80" s="9" t="n"/>
      <x:c r="Y80" s="9" t="n"/>
      <x:c r="Z80" s="9" t="n"/>
    </x:row>
    <x:row r="81" s="71" customFormat="1" ht="12" customHeight="1">
      <x:c r="A81" s="9" t="n"/>
      <x:c r="B81" s="9" t="n"/>
      <x:c r="C81" s="9" t="n"/>
      <x:c r="D81" s="9" t="n"/>
      <x:c r="E81" s="82" t="n"/>
      <x:c r="F81" s="9" t="n"/>
      <x:c r="G81" s="9" t="n"/>
      <x:c r="H81" s="9" t="n"/>
      <x:c r="I81" s="9" t="n"/>
      <x:c r="J81" s="9" t="n"/>
      <x:c r="K81" s="9" t="n"/>
      <x:c r="L81" s="9" t="n"/>
      <x:c r="M81" s="9" t="n"/>
      <x:c r="N81" s="9" t="n"/>
      <x:c r="O81" s="9" t="n"/>
      <x:c r="P81" s="9" t="n"/>
      <x:c r="Q81" s="9" t="n"/>
      <x:c r="R81" s="9" t="n"/>
      <x:c r="S81" s="9" t="n"/>
      <x:c r="T81" s="9" t="n"/>
      <x:c r="U81" s="9" t="n"/>
      <x:c r="V81" s="9" t="n"/>
      <x:c r="W81" s="9" t="n"/>
      <x:c r="X81" s="9" t="n"/>
      <x:c r="Y81" s="9" t="n"/>
      <x:c r="Z81" s="9" t="n"/>
    </x:row>
    <x:row r="82" s="71" customFormat="1" ht="12" customHeight="1">
      <x:c r="A82" s="9" t="n"/>
      <x:c r="B82" s="9" t="n"/>
      <x:c r="C82" s="9" t="n"/>
      <x:c r="D82" s="9" t="n"/>
      <x:c r="E82" s="82" t="n"/>
      <x:c r="F82" s="9" t="n"/>
      <x:c r="G82" s="9" t="n"/>
      <x:c r="H82" s="9" t="n"/>
      <x:c r="I82" s="9" t="n"/>
      <x:c r="J82" s="9" t="n"/>
      <x:c r="K82" s="9" t="n"/>
      <x:c r="L82" s="9" t="n"/>
      <x:c r="M82" s="9" t="n"/>
      <x:c r="N82" s="9" t="n"/>
      <x:c r="O82" s="9" t="n"/>
      <x:c r="P82" s="9" t="n"/>
      <x:c r="Q82" s="9" t="n"/>
      <x:c r="R82" s="9" t="n"/>
      <x:c r="S82" s="9" t="n"/>
      <x:c r="T82" s="9" t="n"/>
      <x:c r="U82" s="9" t="n"/>
      <x:c r="V82" s="9" t="n"/>
      <x:c r="W82" s="9" t="n"/>
      <x:c r="X82" s="9" t="n"/>
      <x:c r="Y82" s="9" t="n"/>
      <x:c r="Z82" s="9" t="n"/>
    </x:row>
    <x:row r="83" s="71" customFormat="1" ht="12" customHeight="1">
      <x:c r="A83" s="9" t="n"/>
      <x:c r="B83" s="9" t="n"/>
      <x:c r="C83" s="9" t="n"/>
      <x:c r="D83" s="9" t="n"/>
      <x:c r="E83" s="82" t="n"/>
      <x:c r="F83" s="9" t="n"/>
      <x:c r="G83" s="9" t="n"/>
      <x:c r="H83" s="9" t="n"/>
      <x:c r="I83" s="9" t="n"/>
      <x:c r="J83" s="9" t="n"/>
      <x:c r="K83" s="9" t="n"/>
      <x:c r="L83" s="9" t="n"/>
      <x:c r="M83" s="9" t="n"/>
      <x:c r="N83" s="9" t="n"/>
      <x:c r="O83" s="9" t="n"/>
      <x:c r="P83" s="9" t="n"/>
      <x:c r="Q83" s="9" t="n"/>
      <x:c r="R83" s="9" t="n"/>
      <x:c r="S83" s="9" t="n"/>
      <x:c r="T83" s="9" t="n"/>
      <x:c r="U83" s="9" t="n"/>
      <x:c r="V83" s="9" t="n"/>
      <x:c r="W83" s="9" t="n"/>
      <x:c r="X83" s="9" t="n"/>
      <x:c r="Y83" s="9" t="n"/>
      <x:c r="Z83" s="9" t="n"/>
    </x:row>
    <x:row r="84" s="71" customFormat="1" ht="12" customHeight="1">
      <x:c r="A84" s="9" t="n"/>
      <x:c r="B84" s="9" t="n"/>
      <x:c r="C84" s="9" t="n"/>
      <x:c r="D84" s="9" t="n"/>
      <x:c r="E84" s="82" t="n"/>
      <x:c r="F84" s="9" t="n"/>
      <x:c r="G84" s="9" t="n"/>
      <x:c r="H84" s="9" t="n"/>
      <x:c r="I84" s="9" t="n"/>
      <x:c r="J84" s="9" t="n"/>
      <x:c r="K84" s="9" t="n"/>
      <x:c r="L84" s="9" t="n"/>
      <x:c r="M84" s="9" t="n"/>
      <x:c r="N84" s="9" t="n"/>
      <x:c r="O84" s="9" t="n"/>
      <x:c r="P84" s="9" t="n"/>
      <x:c r="Q84" s="9" t="n"/>
      <x:c r="R84" s="9" t="n"/>
      <x:c r="S84" s="9" t="n"/>
      <x:c r="T84" s="9" t="n"/>
      <x:c r="U84" s="9" t="n"/>
      <x:c r="V84" s="9" t="n"/>
      <x:c r="W84" s="9" t="n"/>
      <x:c r="X84" s="9" t="n"/>
      <x:c r="Y84" s="9" t="n"/>
      <x:c r="Z84" s="9" t="n"/>
    </x:row>
    <x:row r="85" s="71" customFormat="1" ht="12" customHeight="1">
      <x:c r="A85" s="9" t="n"/>
      <x:c r="B85" s="9" t="n"/>
      <x:c r="C85" s="9" t="n"/>
      <x:c r="D85" s="9" t="n"/>
      <x:c r="E85" s="82" t="n"/>
      <x:c r="F85" s="9" t="n"/>
      <x:c r="G85" s="9" t="n"/>
      <x:c r="H85" s="9" t="n"/>
      <x:c r="I85" s="9" t="n"/>
      <x:c r="J85" s="9" t="n"/>
      <x:c r="K85" s="9" t="n"/>
      <x:c r="L85" s="9" t="n"/>
      <x:c r="M85" s="9" t="n"/>
      <x:c r="N85" s="9" t="n"/>
      <x:c r="O85" s="9" t="n"/>
      <x:c r="P85" s="9" t="n"/>
      <x:c r="Q85" s="9" t="n"/>
      <x:c r="R85" s="9" t="n"/>
      <x:c r="S85" s="9" t="n"/>
      <x:c r="T85" s="9" t="n"/>
      <x:c r="U85" s="9" t="n"/>
      <x:c r="V85" s="9" t="n"/>
      <x:c r="W85" s="9" t="n"/>
      <x:c r="X85" s="9" t="n"/>
      <x:c r="Y85" s="9" t="n"/>
      <x:c r="Z85" s="9" t="n"/>
    </x:row>
    <x:row r="86" s="71" customFormat="1" ht="12" customHeight="1">
      <x:c r="A86" s="9" t="n"/>
      <x:c r="B86" s="9" t="n"/>
      <x:c r="C86" s="9" t="n"/>
      <x:c r="D86" s="9" t="n"/>
      <x:c r="E86" s="82" t="n"/>
      <x:c r="F86" s="9" t="n"/>
      <x:c r="G86" s="9" t="n"/>
      <x:c r="H86" s="9" t="n"/>
      <x:c r="I86" s="9" t="n"/>
      <x:c r="J86" s="9" t="n"/>
      <x:c r="K86" s="9" t="n"/>
      <x:c r="L86" s="9" t="n"/>
      <x:c r="M86" s="9" t="n"/>
      <x:c r="N86" s="9" t="n"/>
      <x:c r="O86" s="9" t="n"/>
      <x:c r="P86" s="9" t="n"/>
      <x:c r="Q86" s="9" t="n"/>
      <x:c r="R86" s="9" t="n"/>
      <x:c r="S86" s="9" t="n"/>
      <x:c r="T86" s="9" t="n"/>
      <x:c r="U86" s="9" t="n"/>
      <x:c r="V86" s="9" t="n"/>
      <x:c r="W86" s="9" t="n"/>
      <x:c r="X86" s="9" t="n"/>
      <x:c r="Y86" s="9" t="n"/>
      <x:c r="Z86" s="9" t="n"/>
    </x:row>
    <x:row r="87" s="71" customFormat="1" ht="12" customHeight="1">
      <x:c r="A87" s="9" t="n"/>
      <x:c r="B87" s="9" t="n"/>
      <x:c r="C87" s="9" t="n"/>
      <x:c r="D87" s="9" t="n"/>
      <x:c r="E87" s="82" t="n"/>
      <x:c r="F87" s="9" t="n"/>
      <x:c r="G87" s="9" t="n"/>
      <x:c r="H87" s="9" t="n"/>
      <x:c r="I87" s="9" t="n"/>
      <x:c r="J87" s="9" t="n"/>
      <x:c r="K87" s="9" t="n"/>
      <x:c r="L87" s="9" t="n"/>
      <x:c r="M87" s="9" t="n"/>
      <x:c r="N87" s="9" t="n"/>
      <x:c r="O87" s="9" t="n"/>
      <x:c r="P87" s="9" t="n"/>
      <x:c r="Q87" s="9" t="n"/>
      <x:c r="R87" s="9" t="n"/>
      <x:c r="S87" s="9" t="n"/>
      <x:c r="T87" s="9" t="n"/>
      <x:c r="U87" s="9" t="n"/>
      <x:c r="V87" s="9" t="n"/>
      <x:c r="W87" s="9" t="n"/>
      <x:c r="X87" s="9" t="n"/>
      <x:c r="Y87" s="9" t="n"/>
      <x:c r="Z87" s="9" t="n"/>
    </x:row>
    <x:row r="88" s="71" customFormat="1" ht="12" customHeight="1">
      <x:c r="A88" s="9" t="n"/>
      <x:c r="B88" s="9" t="n"/>
      <x:c r="C88" s="9" t="n"/>
      <x:c r="D88" s="9" t="n"/>
      <x:c r="E88" s="82" t="n"/>
      <x:c r="F88" s="9" t="n"/>
      <x:c r="G88" s="9" t="n"/>
      <x:c r="H88" s="9" t="n"/>
      <x:c r="I88" s="9" t="n"/>
      <x:c r="J88" s="9" t="n"/>
      <x:c r="K88" s="9" t="n"/>
      <x:c r="L88" s="9" t="n"/>
      <x:c r="M88" s="9" t="n"/>
      <x:c r="N88" s="9" t="n"/>
      <x:c r="O88" s="9" t="n"/>
      <x:c r="P88" s="9" t="n"/>
      <x:c r="Q88" s="9" t="n"/>
      <x:c r="R88" s="9" t="n"/>
      <x:c r="S88" s="9" t="n"/>
      <x:c r="T88" s="9" t="n"/>
      <x:c r="U88" s="9" t="n"/>
      <x:c r="V88" s="9" t="n"/>
      <x:c r="W88" s="9" t="n"/>
      <x:c r="X88" s="9" t="n"/>
      <x:c r="Y88" s="9" t="n"/>
      <x:c r="Z88" s="9" t="n"/>
    </x:row>
    <x:row r="89" s="71" customFormat="1" ht="12" customHeight="1">
      <x:c r="A89" s="9" t="n"/>
      <x:c r="B89" s="9" t="n"/>
      <x:c r="C89" s="9" t="n"/>
      <x:c r="D89" s="9" t="n"/>
      <x:c r="E89" s="82" t="n"/>
      <x:c r="F89" s="9" t="n"/>
      <x:c r="G89" s="9" t="n"/>
      <x:c r="H89" s="9" t="n"/>
      <x:c r="I89" s="9" t="n"/>
      <x:c r="J89" s="9" t="n"/>
      <x:c r="K89" s="9" t="n"/>
      <x:c r="L89" s="9" t="n"/>
      <x:c r="M89" s="9" t="n"/>
      <x:c r="N89" s="9" t="n"/>
      <x:c r="O89" s="9" t="n"/>
      <x:c r="P89" s="9" t="n"/>
      <x:c r="Q89" s="9" t="n"/>
      <x:c r="R89" s="9" t="n"/>
      <x:c r="S89" s="9" t="n"/>
      <x:c r="T89" s="9" t="n"/>
      <x:c r="U89" s="9" t="n"/>
      <x:c r="V89" s="9" t="n"/>
      <x:c r="W89" s="9" t="n"/>
      <x:c r="X89" s="9" t="n"/>
      <x:c r="Y89" s="9" t="n"/>
      <x:c r="Z89" s="9" t="n"/>
    </x:row>
    <x:row r="90" s="71" customFormat="1" ht="12" customHeight="1">
      <x:c r="A90" s="9" t="n"/>
      <x:c r="B90" s="9" t="n"/>
      <x:c r="C90" s="9" t="n"/>
      <x:c r="D90" s="9" t="n"/>
      <x:c r="E90" s="82" t="n"/>
      <x:c r="F90" s="9" t="n"/>
      <x:c r="G90" s="9" t="n"/>
      <x:c r="H90" s="9" t="n"/>
      <x:c r="I90" s="9" t="n"/>
      <x:c r="J90" s="9" t="n"/>
      <x:c r="K90" s="9" t="n"/>
      <x:c r="L90" s="9" t="n"/>
      <x:c r="M90" s="9" t="n"/>
      <x:c r="N90" s="9" t="n"/>
      <x:c r="O90" s="9" t="n"/>
      <x:c r="P90" s="9" t="n"/>
      <x:c r="Q90" s="9" t="n"/>
      <x:c r="R90" s="9" t="n"/>
      <x:c r="S90" s="9" t="n"/>
      <x:c r="T90" s="9" t="n"/>
      <x:c r="U90" s="9" t="n"/>
      <x:c r="V90" s="9" t="n"/>
      <x:c r="W90" s="9" t="n"/>
      <x:c r="X90" s="9" t="n"/>
      <x:c r="Y90" s="9" t="n"/>
      <x:c r="Z90" s="9" t="n"/>
    </x:row>
    <x:row r="91" s="71" customFormat="1" ht="12" customHeight="1">
      <x:c r="A91" s="9" t="n"/>
      <x:c r="B91" s="9" t="n"/>
      <x:c r="C91" s="9" t="n"/>
      <x:c r="D91" s="9" t="n"/>
      <x:c r="E91" s="82" t="n"/>
      <x:c r="F91" s="9" t="n"/>
      <x:c r="G91" s="9" t="n"/>
      <x:c r="H91" s="9" t="n"/>
      <x:c r="I91" s="9" t="n"/>
      <x:c r="J91" s="9" t="n"/>
      <x:c r="K91" s="9" t="n"/>
      <x:c r="L91" s="9" t="n"/>
      <x:c r="M91" s="9" t="n"/>
      <x:c r="N91" s="9" t="n"/>
      <x:c r="O91" s="9" t="n"/>
      <x:c r="P91" s="9" t="n"/>
      <x:c r="Q91" s="9" t="n"/>
      <x:c r="R91" s="9" t="n"/>
      <x:c r="S91" s="9" t="n"/>
      <x:c r="T91" s="9" t="n"/>
      <x:c r="U91" s="9" t="n"/>
      <x:c r="V91" s="9" t="n"/>
      <x:c r="W91" s="9" t="n"/>
      <x:c r="X91" s="9" t="n"/>
      <x:c r="Y91" s="9" t="n"/>
      <x:c r="Z91" s="9" t="n"/>
    </x:row>
    <x:row r="92" s="71" customFormat="1" ht="12" customHeight="1">
      <x:c r="A92" s="9" t="n"/>
      <x:c r="B92" s="9" t="n"/>
      <x:c r="C92" s="9" t="n"/>
      <x:c r="D92" s="9" t="n"/>
      <x:c r="E92" s="82" t="n"/>
      <x:c r="F92" s="9" t="n"/>
      <x:c r="G92" s="9" t="n"/>
      <x:c r="H92" s="9" t="n"/>
      <x:c r="I92" s="9" t="n"/>
      <x:c r="J92" s="9" t="n"/>
      <x:c r="K92" s="9" t="n"/>
      <x:c r="L92" s="9" t="n"/>
      <x:c r="M92" s="9" t="n"/>
      <x:c r="N92" s="9" t="n"/>
      <x:c r="O92" s="9" t="n"/>
      <x:c r="P92" s="9" t="n"/>
      <x:c r="Q92" s="9" t="n"/>
      <x:c r="R92" s="9" t="n"/>
      <x:c r="S92" s="9" t="n"/>
      <x:c r="T92" s="9" t="n"/>
      <x:c r="U92" s="9" t="n"/>
      <x:c r="V92" s="9" t="n"/>
      <x:c r="W92" s="9" t="n"/>
      <x:c r="X92" s="9" t="n"/>
      <x:c r="Y92" s="9" t="n"/>
      <x:c r="Z92" s="9" t="n"/>
    </x:row>
    <x:row r="93" s="71" customFormat="1" ht="12" customHeight="1">
      <x:c r="A93" s="9" t="n"/>
      <x:c r="B93" s="9" t="n"/>
      <x:c r="C93" s="9" t="n"/>
      <x:c r="D93" s="9" t="n"/>
      <x:c r="E93" s="82" t="n"/>
      <x:c r="F93" s="9" t="n"/>
      <x:c r="G93" s="9" t="n"/>
      <x:c r="H93" s="9" t="n"/>
      <x:c r="I93" s="9" t="n"/>
      <x:c r="J93" s="9" t="n"/>
      <x:c r="K93" s="9" t="n"/>
      <x:c r="L93" s="9" t="n"/>
      <x:c r="M93" s="9" t="n"/>
      <x:c r="N93" s="9" t="n"/>
      <x:c r="O93" s="9" t="n"/>
      <x:c r="P93" s="9" t="n"/>
      <x:c r="Q93" s="9" t="n"/>
      <x:c r="R93" s="9" t="n"/>
      <x:c r="S93" s="9" t="n"/>
      <x:c r="T93" s="9" t="n"/>
      <x:c r="U93" s="9" t="n"/>
      <x:c r="V93" s="9" t="n"/>
      <x:c r="W93" s="9" t="n"/>
      <x:c r="X93" s="9" t="n"/>
      <x:c r="Y93" s="9" t="n"/>
      <x:c r="Z93" s="9" t="n"/>
    </x:row>
    <x:row r="94" s="71" customFormat="1" ht="12" customHeight="1">
      <x:c r="A94" s="9" t="n"/>
      <x:c r="B94" s="9" t="n"/>
      <x:c r="C94" s="9" t="n"/>
      <x:c r="D94" s="9" t="n"/>
      <x:c r="E94" s="82" t="n"/>
      <x:c r="F94" s="9" t="n"/>
      <x:c r="G94" s="9" t="n"/>
      <x:c r="H94" s="9" t="n"/>
      <x:c r="I94" s="9" t="n"/>
      <x:c r="J94" s="9" t="n"/>
      <x:c r="K94" s="9" t="n"/>
      <x:c r="L94" s="9" t="n"/>
      <x:c r="M94" s="9" t="n"/>
      <x:c r="N94" s="9" t="n"/>
      <x:c r="O94" s="9" t="n"/>
      <x:c r="P94" s="9" t="n"/>
      <x:c r="Q94" s="9" t="n"/>
      <x:c r="R94" s="9" t="n"/>
      <x:c r="S94" s="9" t="n"/>
      <x:c r="T94" s="9" t="n"/>
      <x:c r="U94" s="9" t="n"/>
      <x:c r="V94" s="9" t="n"/>
      <x:c r="W94" s="9" t="n"/>
      <x:c r="X94" s="9" t="n"/>
      <x:c r="Y94" s="9" t="n"/>
      <x:c r="Z94" s="9" t="n"/>
    </x:row>
    <x:row r="95" s="71" customFormat="1" ht="12" customHeight="1">
      <x:c r="A95" s="9" t="n"/>
      <x:c r="B95" s="9" t="n"/>
      <x:c r="C95" s="9" t="n"/>
      <x:c r="D95" s="9" t="n"/>
      <x:c r="E95" s="82" t="n"/>
      <x:c r="F95" s="9" t="n"/>
      <x:c r="G95" s="9" t="n"/>
      <x:c r="H95" s="9" t="n"/>
      <x:c r="I95" s="9" t="n"/>
      <x:c r="J95" s="9" t="n"/>
      <x:c r="K95" s="9" t="n"/>
      <x:c r="L95" s="9" t="n"/>
      <x:c r="M95" s="9" t="n"/>
      <x:c r="N95" s="9" t="n"/>
      <x:c r="O95" s="9" t="n"/>
      <x:c r="P95" s="9" t="n"/>
      <x:c r="Q95" s="9" t="n"/>
      <x:c r="R95" s="9" t="n"/>
      <x:c r="S95" s="9" t="n"/>
      <x:c r="T95" s="9" t="n"/>
      <x:c r="U95" s="9" t="n"/>
      <x:c r="V95" s="9" t="n"/>
      <x:c r="W95" s="9" t="n"/>
      <x:c r="X95" s="9" t="n"/>
      <x:c r="Y95" s="9" t="n"/>
      <x:c r="Z95" s="9" t="n"/>
    </x:row>
    <x:row r="96" s="71" customFormat="1" ht="12" customHeight="1">
      <x:c r="A96" s="9" t="n"/>
      <x:c r="B96" s="9" t="n"/>
      <x:c r="C96" s="9" t="n"/>
      <x:c r="D96" s="9" t="n"/>
      <x:c r="E96" s="82" t="n"/>
      <x:c r="F96" s="9" t="n"/>
      <x:c r="G96" s="9" t="n"/>
      <x:c r="H96" s="9" t="n"/>
      <x:c r="I96" s="9" t="n"/>
      <x:c r="J96" s="9" t="n"/>
      <x:c r="K96" s="9" t="n"/>
      <x:c r="L96" s="9" t="n"/>
      <x:c r="M96" s="9" t="n"/>
      <x:c r="N96" s="9" t="n"/>
      <x:c r="O96" s="9" t="n"/>
      <x:c r="P96" s="9" t="n"/>
      <x:c r="Q96" s="9" t="n"/>
      <x:c r="R96" s="9" t="n"/>
      <x:c r="S96" s="9" t="n"/>
      <x:c r="T96" s="9" t="n"/>
      <x:c r="U96" s="9" t="n"/>
      <x:c r="V96" s="9" t="n"/>
      <x:c r="W96" s="9" t="n"/>
      <x:c r="X96" s="9" t="n"/>
      <x:c r="Y96" s="9" t="n"/>
      <x:c r="Z96" s="9" t="n"/>
    </x:row>
    <x:row r="97" s="71" customFormat="1" ht="12" customHeight="1">
      <x:c r="A97" s="9" t="n"/>
      <x:c r="B97" s="9" t="n"/>
      <x:c r="C97" s="9" t="n"/>
      <x:c r="D97" s="9" t="n"/>
      <x:c r="E97" s="82" t="n"/>
      <x:c r="F97" s="9" t="n"/>
      <x:c r="G97" s="9" t="n"/>
      <x:c r="H97" s="9" t="n"/>
      <x:c r="I97" s="9" t="n"/>
      <x:c r="J97" s="9" t="n"/>
      <x:c r="K97" s="9" t="n"/>
      <x:c r="L97" s="9" t="n"/>
      <x:c r="M97" s="9" t="n"/>
      <x:c r="N97" s="9" t="n"/>
      <x:c r="O97" s="9" t="n"/>
      <x:c r="P97" s="9" t="n"/>
      <x:c r="Q97" s="9" t="n"/>
      <x:c r="R97" s="9" t="n"/>
      <x:c r="S97" s="9" t="n"/>
      <x:c r="T97" s="9" t="n"/>
      <x:c r="U97" s="9" t="n"/>
      <x:c r="V97" s="9" t="n"/>
      <x:c r="W97" s="9" t="n"/>
      <x:c r="X97" s="9" t="n"/>
      <x:c r="Y97" s="9" t="n"/>
      <x:c r="Z97" s="9" t="n"/>
    </x:row>
    <x:row r="98" s="71" customFormat="1" ht="12" customHeight="1">
      <x:c r="A98" s="9" t="n"/>
      <x:c r="B98" s="9" t="n"/>
      <x:c r="C98" s="9" t="n"/>
      <x:c r="D98" s="9" t="n"/>
      <x:c r="E98" s="82" t="n"/>
      <x:c r="F98" s="9" t="n"/>
      <x:c r="G98" s="9" t="n"/>
      <x:c r="H98" s="9" t="n"/>
      <x:c r="I98" s="9" t="n"/>
      <x:c r="J98" s="9" t="n"/>
      <x:c r="K98" s="9" t="n"/>
      <x:c r="L98" s="9" t="n"/>
      <x:c r="M98" s="9" t="n"/>
      <x:c r="N98" s="9" t="n"/>
      <x:c r="O98" s="9" t="n"/>
      <x:c r="P98" s="9" t="n"/>
      <x:c r="Q98" s="9" t="n"/>
      <x:c r="R98" s="9" t="n"/>
      <x:c r="S98" s="9" t="n"/>
      <x:c r="T98" s="9" t="n"/>
      <x:c r="U98" s="9" t="n"/>
      <x:c r="V98" s="9" t="n"/>
      <x:c r="W98" s="9" t="n"/>
      <x:c r="X98" s="9" t="n"/>
      <x:c r="Y98" s="9" t="n"/>
      <x:c r="Z98" s="9" t="n"/>
    </x:row>
    <x:row r="99" s="71" customFormat="1" ht="12" customHeight="1">
      <x:c r="A99" s="9" t="n"/>
      <x:c r="B99" s="9" t="n"/>
      <x:c r="C99" s="9" t="n"/>
      <x:c r="D99" s="9" t="n"/>
      <x:c r="E99" s="82" t="n"/>
      <x:c r="F99" s="9" t="n"/>
      <x:c r="G99" s="9" t="n"/>
      <x:c r="H99" s="9" t="n"/>
      <x:c r="I99" s="9" t="n"/>
      <x:c r="J99" s="9" t="n"/>
      <x:c r="K99" s="9" t="n"/>
      <x:c r="L99" s="9" t="n"/>
      <x:c r="M99" s="9" t="n"/>
      <x:c r="N99" s="9" t="n"/>
      <x:c r="O99" s="9" t="n"/>
      <x:c r="P99" s="9" t="n"/>
      <x:c r="Q99" s="9" t="n"/>
      <x:c r="R99" s="9" t="n"/>
      <x:c r="S99" s="9" t="n"/>
      <x:c r="T99" s="9" t="n"/>
      <x:c r="U99" s="9" t="n"/>
      <x:c r="V99" s="9" t="n"/>
      <x:c r="W99" s="9" t="n"/>
      <x:c r="X99" s="9" t="n"/>
      <x:c r="Y99" s="9" t="n"/>
      <x:c r="Z99" s="9" t="n"/>
    </x:row>
    <x:row r="100" s="71" customFormat="1" ht="12" customHeight="1">
      <x:c r="A100" s="9" t="n"/>
      <x:c r="B100" s="9" t="n"/>
      <x:c r="C100" s="9" t="n"/>
      <x:c r="D100" s="9" t="n"/>
      <x:c r="E100" s="82" t="n"/>
      <x:c r="F100" s="9" t="n"/>
      <x:c r="G100" s="9" t="n"/>
      <x:c r="H100" s="9" t="n"/>
      <x:c r="I100" s="9" t="n"/>
      <x:c r="J100" s="9" t="n"/>
      <x:c r="K100" s="9" t="n"/>
      <x:c r="L100" s="9" t="n"/>
      <x:c r="M100" s="9" t="n"/>
      <x:c r="N100" s="9" t="n"/>
      <x:c r="O100" s="9" t="n"/>
      <x:c r="P100" s="9" t="n"/>
      <x:c r="Q100" s="9" t="n"/>
      <x:c r="R100" s="9" t="n"/>
      <x:c r="S100" s="9" t="n"/>
      <x:c r="T100" s="9" t="n"/>
      <x:c r="U100" s="9" t="n"/>
      <x:c r="V100" s="9" t="n"/>
      <x:c r="W100" s="9" t="n"/>
      <x:c r="X100" s="9" t="n"/>
      <x:c r="Y100" s="9" t="n"/>
      <x:c r="Z100" s="9" t="n"/>
    </x:row>
    <x:row r="101" s="71" customFormat="1" ht="12" customHeight="1">
      <x:c r="A101" s="9" t="n"/>
      <x:c r="B101" s="9" t="n"/>
      <x:c r="C101" s="9" t="n"/>
      <x:c r="D101" s="9" t="n"/>
      <x:c r="E101" s="82" t="n"/>
      <x:c r="F101" s="9" t="n"/>
      <x:c r="G101" s="9" t="n"/>
      <x:c r="H101" s="9" t="n"/>
      <x:c r="I101" s="9" t="n"/>
      <x:c r="J101" s="9" t="n"/>
      <x:c r="K101" s="9" t="n"/>
      <x:c r="L101" s="9" t="n"/>
      <x:c r="M101" s="9" t="n"/>
      <x:c r="N101" s="9" t="n"/>
      <x:c r="O101" s="9" t="n"/>
      <x:c r="P101" s="9" t="n"/>
      <x:c r="Q101" s="9" t="n"/>
      <x:c r="R101" s="9" t="n"/>
      <x:c r="S101" s="9" t="n"/>
      <x:c r="T101" s="9" t="n"/>
      <x:c r="U101" s="9" t="n"/>
      <x:c r="V101" s="9" t="n"/>
      <x:c r="W101" s="9" t="n"/>
      <x:c r="X101" s="9" t="n"/>
      <x:c r="Y101" s="9" t="n"/>
      <x:c r="Z101" s="9" t="n"/>
    </x:row>
    <x:row r="102" s="71" customFormat="1" ht="12" customHeight="1">
      <x:c r="A102" s="9" t="n"/>
      <x:c r="B102" s="9" t="n"/>
      <x:c r="C102" s="9" t="n"/>
      <x:c r="D102" s="9" t="n"/>
      <x:c r="E102" s="82" t="n"/>
      <x:c r="F102" s="9" t="n"/>
      <x:c r="G102" s="9" t="n"/>
      <x:c r="H102" s="9" t="n"/>
      <x:c r="I102" s="9" t="n"/>
      <x:c r="J102" s="9" t="n"/>
      <x:c r="K102" s="9" t="n"/>
      <x:c r="L102" s="9" t="n"/>
      <x:c r="M102" s="9" t="n"/>
      <x:c r="N102" s="9" t="n"/>
      <x:c r="O102" s="9" t="n"/>
      <x:c r="P102" s="9" t="n"/>
      <x:c r="Q102" s="9" t="n"/>
      <x:c r="R102" s="9" t="n"/>
      <x:c r="S102" s="9" t="n"/>
      <x:c r="T102" s="9" t="n"/>
      <x:c r="U102" s="9" t="n"/>
      <x:c r="V102" s="9" t="n"/>
      <x:c r="W102" s="9" t="n"/>
      <x:c r="X102" s="9" t="n"/>
      <x:c r="Y102" s="9" t="n"/>
      <x:c r="Z102" s="9" t="n"/>
    </x:row>
    <x:row r="103" s="71" customFormat="1" ht="12" customHeight="1">
      <x:c r="A103" s="9" t="n"/>
      <x:c r="B103" s="9" t="n"/>
      <x:c r="C103" s="9" t="n"/>
      <x:c r="D103" s="9" t="n"/>
      <x:c r="E103" s="82" t="n"/>
      <x:c r="F103" s="9" t="n"/>
      <x:c r="G103" s="9" t="n"/>
      <x:c r="H103" s="9" t="n"/>
      <x:c r="I103" s="9" t="n"/>
      <x:c r="J103" s="9" t="n"/>
      <x:c r="K103" s="9" t="n"/>
      <x:c r="L103" s="9" t="n"/>
      <x:c r="M103" s="9" t="n"/>
      <x:c r="N103" s="9" t="n"/>
      <x:c r="O103" s="9" t="n"/>
      <x:c r="P103" s="9" t="n"/>
      <x:c r="Q103" s="9" t="n"/>
      <x:c r="R103" s="9" t="n"/>
      <x:c r="S103" s="9" t="n"/>
      <x:c r="T103" s="9" t="n"/>
      <x:c r="U103" s="9" t="n"/>
      <x:c r="V103" s="9" t="n"/>
      <x:c r="W103" s="9" t="n"/>
      <x:c r="X103" s="9" t="n"/>
      <x:c r="Y103" s="9" t="n"/>
      <x:c r="Z103" s="9" t="n"/>
    </x:row>
    <x:row r="104" s="71" customFormat="1" ht="12" customHeight="1">
      <x:c r="A104" s="9" t="n"/>
      <x:c r="B104" s="9" t="n"/>
      <x:c r="C104" s="9" t="n"/>
      <x:c r="D104" s="9" t="n"/>
      <x:c r="E104" s="82" t="n"/>
      <x:c r="F104" s="9" t="n"/>
      <x:c r="G104" s="9" t="n"/>
      <x:c r="H104" s="9" t="n"/>
      <x:c r="I104" s="9" t="n"/>
      <x:c r="J104" s="9" t="n"/>
      <x:c r="K104" s="9" t="n"/>
      <x:c r="L104" s="9" t="n"/>
      <x:c r="M104" s="9" t="n"/>
      <x:c r="N104" s="9" t="n"/>
      <x:c r="O104" s="9" t="n"/>
      <x:c r="P104" s="9" t="n"/>
      <x:c r="Q104" s="9" t="n"/>
      <x:c r="R104" s="9" t="n"/>
      <x:c r="S104" s="9" t="n"/>
      <x:c r="T104" s="9" t="n"/>
      <x:c r="U104" s="9" t="n"/>
      <x:c r="V104" s="9" t="n"/>
      <x:c r="W104" s="9" t="n"/>
      <x:c r="X104" s="9" t="n"/>
      <x:c r="Y104" s="9" t="n"/>
      <x:c r="Z104" s="9" t="n"/>
    </x:row>
    <x:row r="105" s="71" customFormat="1" ht="12" customHeight="1">
      <x:c r="A105" s="9" t="n"/>
      <x:c r="B105" s="9" t="n"/>
      <x:c r="C105" s="9" t="n"/>
      <x:c r="D105" s="9" t="n"/>
      <x:c r="E105" s="82" t="n"/>
      <x:c r="F105" s="9" t="n"/>
      <x:c r="G105" s="9" t="n"/>
      <x:c r="H105" s="9" t="n"/>
      <x:c r="I105" s="9" t="n"/>
      <x:c r="J105" s="9" t="n"/>
      <x:c r="K105" s="9" t="n"/>
      <x:c r="L105" s="9" t="n"/>
      <x:c r="M105" s="9" t="n"/>
      <x:c r="N105" s="9" t="n"/>
      <x:c r="O105" s="9" t="n"/>
      <x:c r="P105" s="9" t="n"/>
      <x:c r="Q105" s="9" t="n"/>
      <x:c r="R105" s="9" t="n"/>
      <x:c r="S105" s="9" t="n"/>
      <x:c r="T105" s="9" t="n"/>
      <x:c r="U105" s="9" t="n"/>
      <x:c r="V105" s="9" t="n"/>
      <x:c r="W105" s="9" t="n"/>
      <x:c r="X105" s="9" t="n"/>
      <x:c r="Y105" s="9" t="n"/>
      <x:c r="Z105" s="9" t="n"/>
    </x:row>
    <x:row r="106" s="71" customFormat="1" ht="12" customHeight="1">
      <x:c r="A106" s="9" t="n"/>
      <x:c r="B106" s="9" t="n"/>
      <x:c r="C106" s="9" t="n"/>
      <x:c r="D106" s="9" t="n"/>
      <x:c r="E106" s="82" t="n"/>
      <x:c r="F106" s="9" t="n"/>
      <x:c r="G106" s="9" t="n"/>
      <x:c r="H106" s="9" t="n"/>
      <x:c r="I106" s="9" t="n"/>
      <x:c r="J106" s="9" t="n"/>
      <x:c r="K106" s="9" t="n"/>
      <x:c r="L106" s="9" t="n"/>
      <x:c r="M106" s="9" t="n"/>
      <x:c r="N106" s="9" t="n"/>
      <x:c r="O106" s="9" t="n"/>
      <x:c r="P106" s="9" t="n"/>
      <x:c r="Q106" s="9" t="n"/>
      <x:c r="R106" s="9" t="n"/>
      <x:c r="S106" s="9" t="n"/>
      <x:c r="T106" s="9" t="n"/>
      <x:c r="U106" s="9" t="n"/>
      <x:c r="V106" s="9" t="n"/>
      <x:c r="W106" s="9" t="n"/>
      <x:c r="X106" s="9" t="n"/>
      <x:c r="Y106" s="9" t="n"/>
      <x:c r="Z106" s="9" t="n"/>
    </x:row>
    <x:row r="107" s="71" customFormat="1" ht="12" customHeight="1">
      <x:c r="A107" s="9" t="n"/>
      <x:c r="B107" s="9" t="n"/>
      <x:c r="C107" s="9" t="n"/>
      <x:c r="D107" s="9" t="n"/>
      <x:c r="E107" s="82" t="n"/>
      <x:c r="F107" s="9" t="n"/>
      <x:c r="G107" s="9" t="n"/>
      <x:c r="H107" s="9" t="n"/>
      <x:c r="I107" s="9" t="n"/>
      <x:c r="J107" s="9" t="n"/>
      <x:c r="K107" s="9" t="n"/>
      <x:c r="L107" s="9" t="n"/>
      <x:c r="M107" s="9" t="n"/>
      <x:c r="N107" s="9" t="n"/>
      <x:c r="O107" s="9" t="n"/>
      <x:c r="P107" s="9" t="n"/>
      <x:c r="Q107" s="9" t="n"/>
      <x:c r="R107" s="9" t="n"/>
      <x:c r="S107" s="9" t="n"/>
      <x:c r="T107" s="9" t="n"/>
      <x:c r="U107" s="9" t="n"/>
      <x:c r="V107" s="9" t="n"/>
      <x:c r="W107" s="9" t="n"/>
      <x:c r="X107" s="9" t="n"/>
      <x:c r="Y107" s="9" t="n"/>
      <x:c r="Z107" s="9" t="n"/>
    </x:row>
    <x:row r="108" s="71" customFormat="1" ht="12" customHeight="1">
      <x:c r="A108" s="9" t="n"/>
      <x:c r="B108" s="9" t="n"/>
      <x:c r="C108" s="9" t="n"/>
      <x:c r="D108" s="9" t="n"/>
      <x:c r="E108" s="82" t="n"/>
      <x:c r="F108" s="9" t="n"/>
      <x:c r="G108" s="9" t="n"/>
      <x:c r="H108" s="9" t="n"/>
      <x:c r="I108" s="9" t="n"/>
      <x:c r="J108" s="9" t="n"/>
      <x:c r="K108" s="9" t="n"/>
      <x:c r="L108" s="9" t="n"/>
      <x:c r="M108" s="9" t="n"/>
      <x:c r="N108" s="9" t="n"/>
      <x:c r="O108" s="9" t="n"/>
      <x:c r="P108" s="9" t="n"/>
      <x:c r="Q108" s="9" t="n"/>
      <x:c r="R108" s="9" t="n"/>
      <x:c r="S108" s="9" t="n"/>
      <x:c r="T108" s="9" t="n"/>
      <x:c r="U108" s="9" t="n"/>
      <x:c r="V108" s="9" t="n"/>
      <x:c r="W108" s="9" t="n"/>
      <x:c r="X108" s="9" t="n"/>
      <x:c r="Y108" s="9" t="n"/>
      <x:c r="Z108" s="9" t="n"/>
    </x:row>
    <x:row r="109" s="71" customFormat="1" ht="12" customHeight="1">
      <x:c r="A109" s="9" t="n"/>
      <x:c r="B109" s="9" t="n"/>
      <x:c r="C109" s="9" t="n"/>
      <x:c r="D109" s="9" t="n"/>
      <x:c r="E109" s="82" t="n"/>
      <x:c r="F109" s="9" t="n"/>
      <x:c r="G109" s="9" t="n"/>
      <x:c r="H109" s="9" t="n"/>
      <x:c r="I109" s="9" t="n"/>
      <x:c r="J109" s="9" t="n"/>
      <x:c r="K109" s="9" t="n"/>
      <x:c r="L109" s="9" t="n"/>
      <x:c r="M109" s="9" t="n"/>
      <x:c r="N109" s="9" t="n"/>
      <x:c r="O109" s="9" t="n"/>
      <x:c r="P109" s="9" t="n"/>
      <x:c r="Q109" s="9" t="n"/>
      <x:c r="R109" s="9" t="n"/>
      <x:c r="S109" s="9" t="n"/>
      <x:c r="T109" s="9" t="n"/>
      <x:c r="U109" s="9" t="n"/>
      <x:c r="V109" s="9" t="n"/>
      <x:c r="W109" s="9" t="n"/>
      <x:c r="X109" s="9" t="n"/>
      <x:c r="Y109" s="9" t="n"/>
      <x:c r="Z109" s="9" t="n"/>
    </x:row>
    <x:row r="110" s="71" customFormat="1" ht="12" customHeight="1">
      <x:c r="A110" s="9" t="n"/>
      <x:c r="B110" s="9" t="n"/>
      <x:c r="C110" s="9" t="n"/>
      <x:c r="D110" s="9" t="n"/>
      <x:c r="E110" s="82" t="n"/>
      <x:c r="F110" s="9" t="n"/>
      <x:c r="G110" s="9" t="n"/>
      <x:c r="H110" s="9" t="n"/>
      <x:c r="I110" s="9" t="n"/>
      <x:c r="J110" s="9" t="n"/>
      <x:c r="K110" s="9" t="n"/>
      <x:c r="L110" s="9" t="n"/>
      <x:c r="M110" s="9" t="n"/>
      <x:c r="N110" s="9" t="n"/>
      <x:c r="O110" s="9" t="n"/>
      <x:c r="P110" s="9" t="n"/>
      <x:c r="Q110" s="9" t="n"/>
      <x:c r="R110" s="9" t="n"/>
      <x:c r="S110" s="9" t="n"/>
      <x:c r="T110" s="9" t="n"/>
      <x:c r="U110" s="9" t="n"/>
      <x:c r="V110" s="9" t="n"/>
      <x:c r="W110" s="9" t="n"/>
      <x:c r="X110" s="9" t="n"/>
      <x:c r="Y110" s="9" t="n"/>
      <x:c r="Z110" s="9" t="n"/>
    </x:row>
    <x:row r="111" s="71" customFormat="1" ht="12" customHeight="1">
      <x:c r="A111" s="9" t="n"/>
      <x:c r="B111" s="9" t="n"/>
      <x:c r="C111" s="9" t="n"/>
      <x:c r="D111" s="9" t="n"/>
      <x:c r="E111" s="82" t="n"/>
      <x:c r="F111" s="9" t="n"/>
      <x:c r="G111" s="9" t="n"/>
      <x:c r="H111" s="9" t="n"/>
      <x:c r="I111" s="9" t="n"/>
      <x:c r="J111" s="9" t="n"/>
      <x:c r="K111" s="9" t="n"/>
      <x:c r="L111" s="9" t="n"/>
      <x:c r="M111" s="9" t="n"/>
      <x:c r="N111" s="9" t="n"/>
      <x:c r="O111" s="9" t="n"/>
      <x:c r="P111" s="9" t="n"/>
      <x:c r="Q111" s="9" t="n"/>
      <x:c r="R111" s="9" t="n"/>
      <x:c r="S111" s="9" t="n"/>
      <x:c r="T111" s="9" t="n"/>
      <x:c r="U111" s="9" t="n"/>
      <x:c r="V111" s="9" t="n"/>
      <x:c r="W111" s="9" t="n"/>
      <x:c r="X111" s="9" t="n"/>
      <x:c r="Y111" s="9" t="n"/>
      <x:c r="Z111" s="9" t="n"/>
    </x:row>
    <x:row r="112" s="71" customFormat="1" ht="12" customHeight="1">
      <x:c r="A112" s="9" t="n"/>
      <x:c r="B112" s="9" t="n"/>
      <x:c r="C112" s="9" t="n"/>
      <x:c r="D112" s="9" t="n"/>
      <x:c r="E112" s="82" t="n"/>
      <x:c r="F112" s="9" t="n"/>
      <x:c r="G112" s="9" t="n"/>
      <x:c r="H112" s="9" t="n"/>
      <x:c r="I112" s="9" t="n"/>
      <x:c r="J112" s="9" t="n"/>
      <x:c r="K112" s="9" t="n"/>
      <x:c r="L112" s="9" t="n"/>
      <x:c r="M112" s="9" t="n"/>
      <x:c r="N112" s="9" t="n"/>
      <x:c r="O112" s="9" t="n"/>
      <x:c r="P112" s="9" t="n"/>
      <x:c r="Q112" s="9" t="n"/>
      <x:c r="R112" s="9" t="n"/>
      <x:c r="S112" s="9" t="n"/>
      <x:c r="T112" s="9" t="n"/>
      <x:c r="U112" s="9" t="n"/>
      <x:c r="V112" s="9" t="n"/>
      <x:c r="W112" s="9" t="n"/>
      <x:c r="X112" s="9" t="n"/>
      <x:c r="Y112" s="9" t="n"/>
      <x:c r="Z112" s="9" t="n"/>
    </x:row>
    <x:row r="113" s="71" customFormat="1" ht="12" customHeight="1">
      <x:c r="A113" s="9" t="n"/>
      <x:c r="B113" s="9" t="n"/>
      <x:c r="C113" s="9" t="n"/>
      <x:c r="D113" s="9" t="n"/>
      <x:c r="E113" s="82" t="n"/>
      <x:c r="F113" s="9" t="n"/>
      <x:c r="G113" s="9" t="n"/>
      <x:c r="H113" s="9" t="n"/>
      <x:c r="I113" s="9" t="n"/>
      <x:c r="J113" s="9" t="n"/>
      <x:c r="K113" s="9" t="n"/>
      <x:c r="L113" s="9" t="n"/>
      <x:c r="M113" s="9" t="n"/>
      <x:c r="N113" s="9" t="n"/>
      <x:c r="O113" s="9" t="n"/>
      <x:c r="P113" s="9" t="n"/>
      <x:c r="Q113" s="9" t="n"/>
      <x:c r="R113" s="9" t="n"/>
      <x:c r="S113" s="9" t="n"/>
      <x:c r="T113" s="9" t="n"/>
      <x:c r="U113" s="9" t="n"/>
      <x:c r="V113" s="9" t="n"/>
      <x:c r="W113" s="9" t="n"/>
      <x:c r="X113" s="9" t="n"/>
      <x:c r="Y113" s="9" t="n"/>
      <x:c r="Z113" s="9" t="n"/>
    </x:row>
    <x:row r="114" s="71" customFormat="1" ht="12" customHeight="1">
      <x:c r="A114" s="9" t="n"/>
      <x:c r="B114" s="9" t="n"/>
      <x:c r="C114" s="9" t="n"/>
      <x:c r="D114" s="9" t="n"/>
      <x:c r="E114" s="82" t="n"/>
      <x:c r="F114" s="9" t="n"/>
      <x:c r="G114" s="9" t="n"/>
      <x:c r="H114" s="9" t="n"/>
      <x:c r="I114" s="9" t="n"/>
      <x:c r="J114" s="9" t="n"/>
      <x:c r="K114" s="9" t="n"/>
      <x:c r="L114" s="9" t="n"/>
      <x:c r="M114" s="9" t="n"/>
      <x:c r="N114" s="9" t="n"/>
      <x:c r="O114" s="9" t="n"/>
      <x:c r="P114" s="9" t="n"/>
      <x:c r="Q114" s="9" t="n"/>
      <x:c r="R114" s="9" t="n"/>
      <x:c r="S114" s="9" t="n"/>
      <x:c r="T114" s="9" t="n"/>
      <x:c r="U114" s="9" t="n"/>
      <x:c r="V114" s="9" t="n"/>
      <x:c r="W114" s="9" t="n"/>
      <x:c r="X114" s="9" t="n"/>
      <x:c r="Y114" s="9" t="n"/>
      <x:c r="Z114" s="9" t="n"/>
    </x:row>
    <x:row r="115" s="71" customFormat="1" ht="12" customHeight="1">
      <x:c r="A115" s="9" t="n"/>
      <x:c r="B115" s="9" t="n"/>
      <x:c r="C115" s="9" t="n"/>
      <x:c r="D115" s="9" t="n"/>
      <x:c r="E115" s="82" t="n"/>
      <x:c r="F115" s="9" t="n"/>
      <x:c r="G115" s="9" t="n"/>
      <x:c r="H115" s="9" t="n"/>
      <x:c r="I115" s="9" t="n"/>
      <x:c r="J115" s="9" t="n"/>
      <x:c r="K115" s="9" t="n"/>
      <x:c r="L115" s="9" t="n"/>
      <x:c r="M115" s="9" t="n"/>
      <x:c r="N115" s="9" t="n"/>
      <x:c r="O115" s="9" t="n"/>
      <x:c r="P115" s="9" t="n"/>
      <x:c r="Q115" s="9" t="n"/>
      <x:c r="R115" s="9" t="n"/>
      <x:c r="S115" s="9" t="n"/>
      <x:c r="T115" s="9" t="n"/>
      <x:c r="U115" s="9" t="n"/>
      <x:c r="V115" s="9" t="n"/>
      <x:c r="W115" s="9" t="n"/>
      <x:c r="X115" s="9" t="n"/>
      <x:c r="Y115" s="9" t="n"/>
      <x:c r="Z115" s="9" t="n"/>
    </x:row>
    <x:row r="116" s="71" customFormat="1" ht="12" customHeight="1">
      <x:c r="A116" s="9" t="n"/>
      <x:c r="B116" s="9" t="n"/>
      <x:c r="C116" s="9" t="n"/>
      <x:c r="D116" s="9" t="n"/>
      <x:c r="E116" s="82" t="n"/>
      <x:c r="F116" s="9" t="n"/>
      <x:c r="G116" s="9" t="n"/>
      <x:c r="H116" s="9" t="n"/>
      <x:c r="I116" s="9" t="n"/>
      <x:c r="J116" s="9" t="n"/>
      <x:c r="K116" s="9" t="n"/>
      <x:c r="L116" s="9" t="n"/>
      <x:c r="M116" s="9" t="n"/>
      <x:c r="N116" s="9" t="n"/>
      <x:c r="O116" s="9" t="n"/>
      <x:c r="P116" s="9" t="n"/>
      <x:c r="Q116" s="9" t="n"/>
      <x:c r="R116" s="9" t="n"/>
      <x:c r="S116" s="9" t="n"/>
      <x:c r="T116" s="9" t="n"/>
      <x:c r="U116" s="9" t="n"/>
      <x:c r="V116" s="9" t="n"/>
      <x:c r="W116" s="9" t="n"/>
      <x:c r="X116" s="9" t="n"/>
      <x:c r="Y116" s="9" t="n"/>
      <x:c r="Z116" s="9" t="n"/>
    </x:row>
    <x:row r="117" s="71" customFormat="1" ht="12" customHeight="1">
      <x:c r="A117" s="9" t="n"/>
      <x:c r="B117" s="9" t="n"/>
      <x:c r="C117" s="9" t="n"/>
      <x:c r="D117" s="9" t="n"/>
      <x:c r="E117" s="82" t="n"/>
      <x:c r="F117" s="9" t="n"/>
      <x:c r="G117" s="9" t="n"/>
      <x:c r="H117" s="9" t="n"/>
      <x:c r="I117" s="9" t="n"/>
      <x:c r="J117" s="9" t="n"/>
      <x:c r="K117" s="9" t="n"/>
      <x:c r="L117" s="9" t="n"/>
      <x:c r="M117" s="9" t="n"/>
      <x:c r="N117" s="9" t="n"/>
      <x:c r="O117" s="9" t="n"/>
      <x:c r="P117" s="9" t="n"/>
      <x:c r="Q117" s="9" t="n"/>
      <x:c r="R117" s="9" t="n"/>
      <x:c r="S117" s="9" t="n"/>
      <x:c r="T117" s="9" t="n"/>
      <x:c r="U117" s="9" t="n"/>
      <x:c r="V117" s="9" t="n"/>
      <x:c r="W117" s="9" t="n"/>
      <x:c r="X117" s="9" t="n"/>
      <x:c r="Y117" s="9" t="n"/>
      <x:c r="Z117" s="9" t="n"/>
    </x:row>
    <x:row r="118" s="71" customFormat="1" ht="12" customHeight="1">
      <x:c r="A118" s="9" t="n"/>
      <x:c r="B118" s="9" t="n"/>
      <x:c r="C118" s="9" t="n"/>
      <x:c r="D118" s="9" t="n"/>
      <x:c r="E118" s="82" t="n"/>
      <x:c r="F118" s="9" t="n"/>
      <x:c r="G118" s="9" t="n"/>
      <x:c r="H118" s="9" t="n"/>
      <x:c r="I118" s="9" t="n"/>
      <x:c r="J118" s="9" t="n"/>
      <x:c r="K118" s="9" t="n"/>
      <x:c r="L118" s="9" t="n"/>
      <x:c r="M118" s="9" t="n"/>
      <x:c r="N118" s="9" t="n"/>
      <x:c r="O118" s="9" t="n"/>
      <x:c r="P118" s="9" t="n"/>
      <x:c r="Q118" s="9" t="n"/>
      <x:c r="R118" s="9" t="n"/>
      <x:c r="S118" s="9" t="n"/>
      <x:c r="T118" s="9" t="n"/>
      <x:c r="U118" s="9" t="n"/>
      <x:c r="V118" s="9" t="n"/>
      <x:c r="W118" s="9" t="n"/>
      <x:c r="X118" s="9" t="n"/>
      <x:c r="Y118" s="9" t="n"/>
      <x:c r="Z118" s="9" t="n"/>
    </x:row>
    <x:row r="119" s="71" customFormat="1" ht="12" customHeight="1">
      <x:c r="A119" s="9" t="n"/>
      <x:c r="B119" s="9" t="n"/>
      <x:c r="C119" s="9" t="n"/>
      <x:c r="D119" s="9" t="n"/>
      <x:c r="E119" s="82" t="n"/>
      <x:c r="F119" s="9" t="n"/>
      <x:c r="G119" s="9" t="n"/>
      <x:c r="H119" s="9" t="n"/>
      <x:c r="I119" s="9" t="n"/>
      <x:c r="J119" s="9" t="n"/>
      <x:c r="K119" s="9" t="n"/>
      <x:c r="L119" s="9" t="n"/>
      <x:c r="M119" s="9" t="n"/>
      <x:c r="N119" s="9" t="n"/>
      <x:c r="O119" s="9" t="n"/>
      <x:c r="P119" s="9" t="n"/>
      <x:c r="Q119" s="9" t="n"/>
      <x:c r="R119" s="9" t="n"/>
      <x:c r="S119" s="9" t="n"/>
      <x:c r="T119" s="9" t="n"/>
      <x:c r="U119" s="9" t="n"/>
      <x:c r="V119" s="9" t="n"/>
      <x:c r="W119" s="9" t="n"/>
      <x:c r="X119" s="9" t="n"/>
      <x:c r="Y119" s="9" t="n"/>
      <x:c r="Z119" s="9" t="n"/>
    </x:row>
    <x:row r="120" s="71" customFormat="1" ht="12" customHeight="1">
      <x:c r="A120" s="9" t="n"/>
      <x:c r="B120" s="9" t="n"/>
      <x:c r="C120" s="9" t="n"/>
      <x:c r="D120" s="9" t="n"/>
      <x:c r="E120" s="82" t="n"/>
      <x:c r="F120" s="9" t="n"/>
      <x:c r="G120" s="9" t="n"/>
      <x:c r="H120" s="9" t="n"/>
      <x:c r="I120" s="9" t="n"/>
      <x:c r="J120" s="9" t="n"/>
      <x:c r="K120" s="9" t="n"/>
      <x:c r="L120" s="9" t="n"/>
      <x:c r="M120" s="9" t="n"/>
      <x:c r="N120" s="9" t="n"/>
      <x:c r="O120" s="9" t="n"/>
      <x:c r="P120" s="9" t="n"/>
      <x:c r="Q120" s="9" t="n"/>
      <x:c r="R120" s="9" t="n"/>
      <x:c r="S120" s="9" t="n"/>
      <x:c r="T120" s="9" t="n"/>
      <x:c r="U120" s="9" t="n"/>
      <x:c r="V120" s="9" t="n"/>
      <x:c r="W120" s="9" t="n"/>
      <x:c r="X120" s="9" t="n"/>
      <x:c r="Y120" s="9" t="n"/>
      <x:c r="Z120" s="9" t="n"/>
    </x:row>
    <x:row r="121" s="71" customFormat="1" ht="12" customHeight="1">
      <x:c r="A121" s="9" t="n"/>
      <x:c r="B121" s="9" t="n"/>
      <x:c r="C121" s="9" t="n"/>
      <x:c r="D121" s="9" t="n"/>
      <x:c r="E121" s="82" t="n"/>
      <x:c r="F121" s="9" t="n"/>
      <x:c r="G121" s="9" t="n"/>
      <x:c r="H121" s="9" t="n"/>
      <x:c r="I121" s="9" t="n"/>
      <x:c r="J121" s="9" t="n"/>
      <x:c r="K121" s="9" t="n"/>
      <x:c r="L121" s="9" t="n"/>
      <x:c r="M121" s="9" t="n"/>
      <x:c r="N121" s="9" t="n"/>
      <x:c r="O121" s="9" t="n"/>
      <x:c r="P121" s="9" t="n"/>
      <x:c r="Q121" s="9" t="n"/>
      <x:c r="R121" s="9" t="n"/>
      <x:c r="S121" s="9" t="n"/>
      <x:c r="T121" s="9" t="n"/>
      <x:c r="U121" s="9" t="n"/>
      <x:c r="V121" s="9" t="n"/>
      <x:c r="W121" s="9" t="n"/>
      <x:c r="X121" s="9" t="n"/>
      <x:c r="Y121" s="9" t="n"/>
      <x:c r="Z121" s="9" t="n"/>
    </x:row>
    <x:row r="122" s="71" customFormat="1" ht="12" customHeight="1">
      <x:c r="A122" s="9" t="n"/>
      <x:c r="B122" s="9" t="n"/>
      <x:c r="C122" s="9" t="n"/>
      <x:c r="D122" s="9" t="n"/>
      <x:c r="E122" s="82" t="n"/>
      <x:c r="F122" s="9" t="n"/>
      <x:c r="G122" s="9" t="n"/>
      <x:c r="H122" s="9" t="n"/>
      <x:c r="I122" s="9" t="n"/>
      <x:c r="J122" s="9" t="n"/>
      <x:c r="K122" s="9" t="n"/>
      <x:c r="L122" s="9" t="n"/>
      <x:c r="M122" s="9" t="n"/>
      <x:c r="N122" s="9" t="n"/>
      <x:c r="O122" s="9" t="n"/>
      <x:c r="P122" s="9" t="n"/>
      <x:c r="Q122" s="9" t="n"/>
      <x:c r="R122" s="9" t="n"/>
      <x:c r="S122" s="9" t="n"/>
      <x:c r="T122" s="9" t="n"/>
      <x:c r="U122" s="9" t="n"/>
      <x:c r="V122" s="9" t="n"/>
      <x:c r="W122" s="9" t="n"/>
      <x:c r="X122" s="9" t="n"/>
      <x:c r="Y122" s="9" t="n"/>
      <x:c r="Z122" s="9" t="n"/>
    </x:row>
    <x:row r="123" s="71" customFormat="1" ht="12" customHeight="1">
      <x:c r="A123" s="9" t="n"/>
      <x:c r="B123" s="9" t="n"/>
      <x:c r="C123" s="9" t="n"/>
      <x:c r="D123" s="9" t="n"/>
      <x:c r="E123" s="82" t="n"/>
      <x:c r="F123" s="9" t="n"/>
      <x:c r="G123" s="9" t="n"/>
      <x:c r="H123" s="9" t="n"/>
      <x:c r="I123" s="9" t="n"/>
      <x:c r="J123" s="9" t="n"/>
      <x:c r="K123" s="9" t="n"/>
      <x:c r="L123" s="9" t="n"/>
      <x:c r="M123" s="9" t="n"/>
      <x:c r="N123" s="9" t="n"/>
      <x:c r="O123" s="9" t="n"/>
      <x:c r="P123" s="9" t="n"/>
      <x:c r="Q123" s="9" t="n"/>
      <x:c r="R123" s="9" t="n"/>
      <x:c r="S123" s="9" t="n"/>
      <x:c r="T123" s="9" t="n"/>
      <x:c r="U123" s="9" t="n"/>
      <x:c r="V123" s="9" t="n"/>
      <x:c r="W123" s="9" t="n"/>
      <x:c r="X123" s="9" t="n"/>
      <x:c r="Y123" s="9" t="n"/>
      <x:c r="Z123" s="9" t="n"/>
    </x:row>
    <x:row r="124" s="71" customFormat="1" ht="12" customHeight="1">
      <x:c r="A124" s="9" t="n"/>
      <x:c r="B124" s="9" t="n"/>
      <x:c r="C124" s="9" t="n"/>
      <x:c r="D124" s="9" t="n"/>
      <x:c r="E124" s="82" t="n"/>
      <x:c r="F124" s="9" t="n"/>
      <x:c r="G124" s="9" t="n"/>
      <x:c r="H124" s="9" t="n"/>
      <x:c r="I124" s="9" t="n"/>
      <x:c r="J124" s="9" t="n"/>
      <x:c r="K124" s="9" t="n"/>
      <x:c r="L124" s="9" t="n"/>
      <x:c r="M124" s="9" t="n"/>
      <x:c r="N124" s="9" t="n"/>
      <x:c r="O124" s="9" t="n"/>
      <x:c r="P124" s="9" t="n"/>
      <x:c r="Q124" s="9" t="n"/>
      <x:c r="R124" s="9" t="n"/>
      <x:c r="S124" s="9" t="n"/>
      <x:c r="T124" s="9" t="n"/>
      <x:c r="U124" s="9" t="n"/>
      <x:c r="V124" s="9" t="n"/>
      <x:c r="W124" s="9" t="n"/>
      <x:c r="X124" s="9" t="n"/>
      <x:c r="Y124" s="9" t="n"/>
      <x:c r="Z124" s="9" t="n"/>
    </x:row>
    <x:row r="125" s="71" customFormat="1" ht="12" customHeight="1">
      <x:c r="A125" s="9" t="n"/>
      <x:c r="B125" s="9" t="n"/>
      <x:c r="C125" s="9" t="n"/>
      <x:c r="D125" s="9" t="n"/>
      <x:c r="E125" s="82" t="n"/>
      <x:c r="F125" s="9" t="n"/>
      <x:c r="G125" s="9" t="n"/>
      <x:c r="H125" s="9" t="n"/>
      <x:c r="I125" s="9" t="n"/>
      <x:c r="J125" s="9" t="n"/>
      <x:c r="K125" s="9" t="n"/>
      <x:c r="L125" s="9" t="n"/>
      <x:c r="M125" s="9" t="n"/>
      <x:c r="N125" s="9" t="n"/>
      <x:c r="O125" s="9" t="n"/>
      <x:c r="P125" s="9" t="n"/>
      <x:c r="Q125" s="9" t="n"/>
      <x:c r="R125" s="9" t="n"/>
      <x:c r="S125" s="9" t="n"/>
      <x:c r="T125" s="9" t="n"/>
      <x:c r="U125" s="9" t="n"/>
      <x:c r="V125" s="9" t="n"/>
      <x:c r="W125" s="9" t="n"/>
      <x:c r="X125" s="9" t="n"/>
      <x:c r="Y125" s="9" t="n"/>
      <x:c r="Z125" s="9" t="n"/>
    </x:row>
    <x:row r="126" s="71" customFormat="1" ht="12" customHeight="1">
      <x:c r="A126" s="9" t="n"/>
      <x:c r="B126" s="9" t="n"/>
      <x:c r="C126" s="9" t="n"/>
      <x:c r="D126" s="9" t="n"/>
      <x:c r="E126" s="82" t="n"/>
      <x:c r="F126" s="9" t="n"/>
      <x:c r="G126" s="9" t="n"/>
      <x:c r="H126" s="9" t="n"/>
      <x:c r="I126" s="9" t="n"/>
      <x:c r="J126" s="9" t="n"/>
      <x:c r="K126" s="9" t="n"/>
      <x:c r="L126" s="9" t="n"/>
      <x:c r="M126" s="9" t="n"/>
      <x:c r="N126" s="9" t="n"/>
      <x:c r="O126" s="9" t="n"/>
      <x:c r="P126" s="9" t="n"/>
      <x:c r="Q126" s="9" t="n"/>
      <x:c r="R126" s="9" t="n"/>
      <x:c r="S126" s="9" t="n"/>
      <x:c r="T126" s="9" t="n"/>
      <x:c r="U126" s="9" t="n"/>
      <x:c r="V126" s="9" t="n"/>
      <x:c r="W126" s="9" t="n"/>
      <x:c r="X126" s="9" t="n"/>
      <x:c r="Y126" s="9" t="n"/>
      <x:c r="Z126" s="9" t="n"/>
    </x:row>
    <x:row r="127" s="71" customFormat="1" ht="12" customHeight="1">
      <x:c r="A127" s="9" t="n"/>
      <x:c r="B127" s="9" t="n"/>
      <x:c r="C127" s="9" t="n"/>
      <x:c r="D127" s="9" t="n"/>
      <x:c r="E127" s="82" t="n"/>
      <x:c r="F127" s="9" t="n"/>
      <x:c r="G127" s="9" t="n"/>
      <x:c r="H127" s="9" t="n"/>
      <x:c r="I127" s="9" t="n"/>
      <x:c r="J127" s="9" t="n"/>
      <x:c r="K127" s="9" t="n"/>
      <x:c r="L127" s="9" t="n"/>
      <x:c r="M127" s="9" t="n"/>
      <x:c r="N127" s="9" t="n"/>
      <x:c r="O127" s="9" t="n"/>
      <x:c r="P127" s="9" t="n"/>
      <x:c r="Q127" s="9" t="n"/>
      <x:c r="R127" s="9" t="n"/>
      <x:c r="S127" s="9" t="n"/>
      <x:c r="T127" s="9" t="n"/>
      <x:c r="U127" s="9" t="n"/>
      <x:c r="V127" s="9" t="n"/>
      <x:c r="W127" s="9" t="n"/>
      <x:c r="X127" s="9" t="n"/>
      <x:c r="Y127" s="9" t="n"/>
      <x:c r="Z127" s="9" t="n"/>
    </x:row>
    <x:row r="128" s="71" customFormat="1" ht="12" customHeight="1">
      <x:c r="A128" s="9" t="n"/>
      <x:c r="B128" s="9" t="n"/>
      <x:c r="C128" s="9" t="n"/>
      <x:c r="D128" s="9" t="n"/>
      <x:c r="E128" s="82" t="n"/>
      <x:c r="F128" s="9" t="n"/>
      <x:c r="G128" s="9" t="n"/>
      <x:c r="H128" s="9" t="n"/>
      <x:c r="I128" s="9" t="n"/>
      <x:c r="J128" s="9" t="n"/>
      <x:c r="K128" s="9" t="n"/>
      <x:c r="L128" s="9" t="n"/>
      <x:c r="M128" s="9" t="n"/>
      <x:c r="N128" s="9" t="n"/>
      <x:c r="O128" s="9" t="n"/>
      <x:c r="P128" s="9" t="n"/>
      <x:c r="Q128" s="9" t="n"/>
      <x:c r="R128" s="9" t="n"/>
      <x:c r="S128" s="9" t="n"/>
      <x:c r="T128" s="9" t="n"/>
      <x:c r="U128" s="9" t="n"/>
      <x:c r="V128" s="9" t="n"/>
      <x:c r="W128" s="9" t="n"/>
      <x:c r="X128" s="9" t="n"/>
      <x:c r="Y128" s="9" t="n"/>
      <x:c r="Z128" s="9" t="n"/>
    </x:row>
    <x:row r="129" s="71" customFormat="1" ht="12" customHeight="1">
      <x:c r="A129" s="9" t="n"/>
      <x:c r="B129" s="9" t="n"/>
      <x:c r="C129" s="9" t="n"/>
      <x:c r="D129" s="9" t="n"/>
      <x:c r="E129" s="82" t="n"/>
      <x:c r="F129" s="9" t="n"/>
      <x:c r="G129" s="9" t="n"/>
      <x:c r="H129" s="9" t="n"/>
      <x:c r="I129" s="9" t="n"/>
      <x:c r="J129" s="9" t="n"/>
      <x:c r="K129" s="9" t="n"/>
      <x:c r="L129" s="9" t="n"/>
      <x:c r="M129" s="9" t="n"/>
      <x:c r="N129" s="9" t="n"/>
      <x:c r="O129" s="9" t="n"/>
      <x:c r="P129" s="9" t="n"/>
      <x:c r="Q129" s="9" t="n"/>
      <x:c r="R129" s="9" t="n"/>
      <x:c r="S129" s="9" t="n"/>
      <x:c r="T129" s="9" t="n"/>
      <x:c r="U129" s="9" t="n"/>
      <x:c r="V129" s="9" t="n"/>
      <x:c r="W129" s="9" t="n"/>
      <x:c r="X129" s="9" t="n"/>
      <x:c r="Y129" s="9" t="n"/>
      <x:c r="Z129" s="9" t="n"/>
    </x:row>
    <x:row r="130" s="71" customFormat="1" ht="12" customHeight="1">
      <x:c r="A130" s="9" t="n"/>
      <x:c r="B130" s="9" t="n"/>
      <x:c r="C130" s="9" t="n"/>
      <x:c r="D130" s="9" t="n"/>
      <x:c r="E130" s="82" t="n"/>
      <x:c r="F130" s="9" t="n"/>
      <x:c r="G130" s="9" t="n"/>
      <x:c r="H130" s="9" t="n"/>
      <x:c r="I130" s="9" t="n"/>
      <x:c r="J130" s="9" t="n"/>
      <x:c r="K130" s="9" t="n"/>
      <x:c r="L130" s="9" t="n"/>
      <x:c r="M130" s="9" t="n"/>
      <x:c r="N130" s="9" t="n"/>
      <x:c r="O130" s="9" t="n"/>
      <x:c r="P130" s="9" t="n"/>
      <x:c r="Q130" s="9" t="n"/>
      <x:c r="R130" s="9" t="n"/>
      <x:c r="S130" s="9" t="n"/>
      <x:c r="T130" s="9" t="n"/>
      <x:c r="U130" s="9" t="n"/>
      <x:c r="V130" s="9" t="n"/>
      <x:c r="W130" s="9" t="n"/>
      <x:c r="X130" s="9" t="n"/>
      <x:c r="Y130" s="9" t="n"/>
      <x:c r="Z130" s="9" t="n"/>
    </x:row>
    <x:row r="131" s="71" customFormat="1" ht="12" customHeight="1">
      <x:c r="A131" s="9" t="n"/>
      <x:c r="B131" s="9" t="n"/>
      <x:c r="C131" s="9" t="n"/>
      <x:c r="D131" s="9" t="n"/>
      <x:c r="E131" s="82" t="n"/>
      <x:c r="F131" s="9" t="n"/>
      <x:c r="G131" s="9" t="n"/>
      <x:c r="H131" s="9" t="n"/>
      <x:c r="I131" s="9" t="n"/>
      <x:c r="J131" s="9" t="n"/>
      <x:c r="K131" s="9" t="n"/>
      <x:c r="L131" s="9" t="n"/>
      <x:c r="M131" s="9" t="n"/>
      <x:c r="N131" s="9" t="n"/>
      <x:c r="O131" s="9" t="n"/>
      <x:c r="P131" s="9" t="n"/>
      <x:c r="Q131" s="9" t="n"/>
      <x:c r="R131" s="9" t="n"/>
      <x:c r="S131" s="9" t="n"/>
      <x:c r="T131" s="9" t="n"/>
      <x:c r="U131" s="9" t="n"/>
      <x:c r="V131" s="9" t="n"/>
      <x:c r="W131" s="9" t="n"/>
      <x:c r="X131" s="9" t="n"/>
      <x:c r="Y131" s="9" t="n"/>
      <x:c r="Z131" s="9" t="n"/>
    </x:row>
    <x:row r="132" s="71" customFormat="1" ht="12" customHeight="1">
      <x:c r="A132" s="9" t="n"/>
      <x:c r="B132" s="9" t="n"/>
      <x:c r="C132" s="9" t="n"/>
      <x:c r="D132" s="9" t="n"/>
      <x:c r="E132" s="82" t="n"/>
      <x:c r="F132" s="9" t="n"/>
      <x:c r="G132" s="9" t="n"/>
      <x:c r="H132" s="9" t="n"/>
      <x:c r="I132" s="9" t="n"/>
      <x:c r="J132" s="9" t="n"/>
      <x:c r="K132" s="9" t="n"/>
      <x:c r="L132" s="9" t="n"/>
      <x:c r="M132" s="9" t="n"/>
      <x:c r="N132" s="9" t="n"/>
      <x:c r="O132" s="9" t="n"/>
      <x:c r="P132" s="9" t="n"/>
      <x:c r="Q132" s="9" t="n"/>
      <x:c r="R132" s="9" t="n"/>
      <x:c r="S132" s="9" t="n"/>
      <x:c r="T132" s="9" t="n"/>
      <x:c r="U132" s="9" t="n"/>
      <x:c r="V132" s="9" t="n"/>
      <x:c r="W132" s="9" t="n"/>
      <x:c r="X132" s="9" t="n"/>
      <x:c r="Y132" s="9" t="n"/>
      <x:c r="Z132" s="9" t="n"/>
    </x:row>
    <x:row r="133" s="71" customFormat="1" ht="12" customHeight="1">
      <x:c r="A133" s="9" t="n"/>
      <x:c r="B133" s="9" t="n"/>
      <x:c r="C133" s="9" t="n"/>
      <x:c r="D133" s="9" t="n"/>
      <x:c r="E133" s="82" t="n"/>
      <x:c r="F133" s="9" t="n"/>
      <x:c r="G133" s="9" t="n"/>
      <x:c r="H133" s="9" t="n"/>
      <x:c r="I133" s="9" t="n"/>
      <x:c r="J133" s="9" t="n"/>
      <x:c r="K133" s="9" t="n"/>
      <x:c r="L133" s="9" t="n"/>
      <x:c r="M133" s="9" t="n"/>
      <x:c r="N133" s="9" t="n"/>
      <x:c r="O133" s="9" t="n"/>
      <x:c r="P133" s="9" t="n"/>
      <x:c r="Q133" s="9" t="n"/>
      <x:c r="R133" s="9" t="n"/>
      <x:c r="S133" s="9" t="n"/>
      <x:c r="T133" s="9" t="n"/>
      <x:c r="U133" s="9" t="n"/>
      <x:c r="V133" s="9" t="n"/>
      <x:c r="W133" s="9" t="n"/>
      <x:c r="X133" s="9" t="n"/>
      <x:c r="Y133" s="9" t="n"/>
      <x:c r="Z133" s="9" t="n"/>
    </x:row>
    <x:row r="134" s="71" customFormat="1" ht="12" customHeight="1">
      <x:c r="A134" s="9" t="n"/>
      <x:c r="B134" s="9" t="n"/>
      <x:c r="C134" s="9" t="n"/>
      <x:c r="D134" s="9" t="n"/>
      <x:c r="E134" s="82" t="n"/>
      <x:c r="F134" s="9" t="n"/>
      <x:c r="G134" s="9" t="n"/>
      <x:c r="H134" s="9" t="n"/>
      <x:c r="I134" s="9" t="n"/>
      <x:c r="J134" s="9" t="n"/>
      <x:c r="K134" s="9" t="n"/>
      <x:c r="L134" s="9" t="n"/>
      <x:c r="M134" s="9" t="n"/>
      <x:c r="N134" s="9" t="n"/>
      <x:c r="O134" s="9" t="n"/>
      <x:c r="P134" s="9" t="n"/>
      <x:c r="Q134" s="9" t="n"/>
      <x:c r="R134" s="9" t="n"/>
      <x:c r="S134" s="9" t="n"/>
      <x:c r="T134" s="9" t="n"/>
      <x:c r="U134" s="9" t="n"/>
      <x:c r="V134" s="9" t="n"/>
      <x:c r="W134" s="9" t="n"/>
      <x:c r="X134" s="9" t="n"/>
      <x:c r="Y134" s="9" t="n"/>
      <x:c r="Z134" s="9" t="n"/>
    </x:row>
    <x:row r="135" s="71" customFormat="1" ht="12" customHeight="1">
      <x:c r="A135" s="9" t="n"/>
      <x:c r="B135" s="9" t="n"/>
      <x:c r="C135" s="9" t="n"/>
      <x:c r="D135" s="9" t="n"/>
      <x:c r="E135" s="82" t="n"/>
      <x:c r="F135" s="9" t="n"/>
      <x:c r="G135" s="9" t="n"/>
      <x:c r="H135" s="9" t="n"/>
      <x:c r="I135" s="9" t="n"/>
      <x:c r="J135" s="9" t="n"/>
      <x:c r="K135" s="9" t="n"/>
      <x:c r="L135" s="9" t="n"/>
      <x:c r="M135" s="9" t="n"/>
      <x:c r="N135" s="9" t="n"/>
      <x:c r="O135" s="9" t="n"/>
      <x:c r="P135" s="9" t="n"/>
      <x:c r="Q135" s="9" t="n"/>
      <x:c r="R135" s="9" t="n"/>
      <x:c r="S135" s="9" t="n"/>
      <x:c r="T135" s="9" t="n"/>
      <x:c r="U135" s="9" t="n"/>
      <x:c r="V135" s="9" t="n"/>
      <x:c r="W135" s="9" t="n"/>
      <x:c r="X135" s="9" t="n"/>
      <x:c r="Y135" s="9" t="n"/>
      <x:c r="Z135" s="9" t="n"/>
    </x:row>
    <x:row r="136" s="71" customFormat="1" ht="12" customHeight="1">
      <x:c r="A136" s="9" t="n"/>
      <x:c r="B136" s="9" t="n"/>
      <x:c r="C136" s="9" t="n"/>
      <x:c r="D136" s="9" t="n"/>
      <x:c r="E136" s="82" t="n"/>
      <x:c r="F136" s="9" t="n"/>
      <x:c r="G136" s="9" t="n"/>
      <x:c r="H136" s="9" t="n"/>
      <x:c r="I136" s="9" t="n"/>
      <x:c r="J136" s="9" t="n"/>
      <x:c r="K136" s="9" t="n"/>
      <x:c r="L136" s="9" t="n"/>
      <x:c r="M136" s="9" t="n"/>
      <x:c r="N136" s="9" t="n"/>
      <x:c r="O136" s="9" t="n"/>
      <x:c r="P136" s="9" t="n"/>
      <x:c r="Q136" s="9" t="n"/>
      <x:c r="R136" s="9" t="n"/>
      <x:c r="S136" s="9" t="n"/>
      <x:c r="T136" s="9" t="n"/>
      <x:c r="U136" s="9" t="n"/>
      <x:c r="V136" s="9" t="n"/>
      <x:c r="W136" s="9" t="n"/>
      <x:c r="X136" s="9" t="n"/>
      <x:c r="Y136" s="9" t="n"/>
      <x:c r="Z136" s="9" t="n"/>
    </x:row>
    <x:row r="137" s="71" customFormat="1" ht="12" customHeight="1">
      <x:c r="A137" s="9" t="n"/>
      <x:c r="B137" s="9" t="n"/>
      <x:c r="C137" s="9" t="n"/>
      <x:c r="D137" s="9" t="n"/>
      <x:c r="E137" s="82" t="n"/>
      <x:c r="F137" s="9" t="n"/>
      <x:c r="G137" s="9" t="n"/>
      <x:c r="H137" s="9" t="n"/>
      <x:c r="I137" s="9" t="n"/>
      <x:c r="J137" s="9" t="n"/>
      <x:c r="K137" s="9" t="n"/>
      <x:c r="L137" s="9" t="n"/>
      <x:c r="M137" s="9" t="n"/>
      <x:c r="N137" s="9" t="n"/>
      <x:c r="O137" s="9" t="n"/>
      <x:c r="P137" s="9" t="n"/>
      <x:c r="Q137" s="9" t="n"/>
      <x:c r="R137" s="9" t="n"/>
      <x:c r="S137" s="9" t="n"/>
      <x:c r="T137" s="9" t="n"/>
      <x:c r="U137" s="9" t="n"/>
      <x:c r="V137" s="9" t="n"/>
      <x:c r="W137" s="9" t="n"/>
      <x:c r="X137" s="9" t="n"/>
      <x:c r="Y137" s="9" t="n"/>
      <x:c r="Z137" s="9" t="n"/>
    </x:row>
    <x:row r="138" s="71" customFormat="1" ht="12" customHeight="1">
      <x:c r="A138" s="9" t="n"/>
      <x:c r="B138" s="9" t="n"/>
      <x:c r="C138" s="9" t="n"/>
      <x:c r="D138" s="9" t="n"/>
      <x:c r="E138" s="82" t="n"/>
      <x:c r="F138" s="9" t="n"/>
      <x:c r="G138" s="9" t="n"/>
      <x:c r="H138" s="9" t="n"/>
      <x:c r="I138" s="9" t="n"/>
      <x:c r="J138" s="9" t="n"/>
      <x:c r="K138" s="9" t="n"/>
      <x:c r="L138" s="9" t="n"/>
      <x:c r="M138" s="9" t="n"/>
      <x:c r="N138" s="9" t="n"/>
      <x:c r="O138" s="9" t="n"/>
      <x:c r="P138" s="9" t="n"/>
      <x:c r="Q138" s="9" t="n"/>
      <x:c r="R138" s="9" t="n"/>
      <x:c r="S138" s="9" t="n"/>
      <x:c r="T138" s="9" t="n"/>
      <x:c r="U138" s="9" t="n"/>
      <x:c r="V138" s="9" t="n"/>
      <x:c r="W138" s="9" t="n"/>
      <x:c r="X138" s="9" t="n"/>
      <x:c r="Y138" s="9" t="n"/>
      <x:c r="Z138" s="9" t="n"/>
    </x:row>
    <x:row r="139" s="71" customFormat="1" ht="12" customHeight="1">
      <x:c r="A139" s="9" t="n"/>
      <x:c r="B139" s="9" t="n"/>
      <x:c r="C139" s="9" t="n"/>
      <x:c r="D139" s="9" t="n"/>
      <x:c r="E139" s="82" t="n"/>
      <x:c r="F139" s="9" t="n"/>
      <x:c r="G139" s="9" t="n"/>
      <x:c r="H139" s="9" t="n"/>
      <x:c r="I139" s="9" t="n"/>
      <x:c r="J139" s="9" t="n"/>
      <x:c r="K139" s="9" t="n"/>
      <x:c r="L139" s="9" t="n"/>
      <x:c r="M139" s="9" t="n"/>
      <x:c r="N139" s="9" t="n"/>
      <x:c r="O139" s="9" t="n"/>
      <x:c r="P139" s="9" t="n"/>
      <x:c r="Q139" s="9" t="n"/>
      <x:c r="R139" s="9" t="n"/>
      <x:c r="S139" s="9" t="n"/>
      <x:c r="T139" s="9" t="n"/>
      <x:c r="U139" s="9" t="n"/>
      <x:c r="V139" s="9" t="n"/>
      <x:c r="W139" s="9" t="n"/>
      <x:c r="X139" s="9" t="n"/>
      <x:c r="Y139" s="9" t="n"/>
      <x:c r="Z139" s="9" t="n"/>
    </x:row>
    <x:row r="140" s="71" customFormat="1" ht="12" customHeight="1">
      <x:c r="A140" s="9" t="n"/>
      <x:c r="B140" s="9" t="n"/>
      <x:c r="C140" s="9" t="n"/>
      <x:c r="D140" s="9" t="n"/>
      <x:c r="E140" s="82" t="n"/>
      <x:c r="F140" s="9" t="n"/>
      <x:c r="G140" s="9" t="n"/>
      <x:c r="H140" s="9" t="n"/>
      <x:c r="I140" s="9" t="n"/>
      <x:c r="J140" s="9" t="n"/>
      <x:c r="K140" s="9" t="n"/>
      <x:c r="L140" s="9" t="n"/>
      <x:c r="M140" s="9" t="n"/>
      <x:c r="N140" s="9" t="n"/>
      <x:c r="O140" s="9" t="n"/>
      <x:c r="P140" s="9" t="n"/>
      <x:c r="Q140" s="9" t="n"/>
      <x:c r="R140" s="9" t="n"/>
      <x:c r="S140" s="9" t="n"/>
      <x:c r="T140" s="9" t="n"/>
      <x:c r="U140" s="9" t="n"/>
      <x:c r="V140" s="9" t="n"/>
      <x:c r="W140" s="9" t="n"/>
      <x:c r="X140" s="9" t="n"/>
      <x:c r="Y140" s="9" t="n"/>
      <x:c r="Z140" s="9" t="n"/>
    </x:row>
    <x:row r="141" s="71" customFormat="1" ht="12" customHeight="1">
      <x:c r="A141" s="9" t="n"/>
      <x:c r="B141" s="9" t="n"/>
      <x:c r="C141" s="9" t="n"/>
      <x:c r="D141" s="9" t="n"/>
      <x:c r="E141" s="82" t="n"/>
      <x:c r="F141" s="9" t="n"/>
      <x:c r="G141" s="9" t="n"/>
      <x:c r="H141" s="9" t="n"/>
      <x:c r="I141" s="9" t="n"/>
      <x:c r="J141" s="9" t="n"/>
      <x:c r="K141" s="9" t="n"/>
      <x:c r="L141" s="9" t="n"/>
      <x:c r="M141" s="9" t="n"/>
      <x:c r="N141" s="9" t="n"/>
      <x:c r="O141" s="9" t="n"/>
      <x:c r="P141" s="9" t="n"/>
      <x:c r="Q141" s="9" t="n"/>
      <x:c r="R141" s="9" t="n"/>
      <x:c r="S141" s="9" t="n"/>
      <x:c r="T141" s="9" t="n"/>
      <x:c r="U141" s="9" t="n"/>
      <x:c r="V141" s="9" t="n"/>
      <x:c r="W141" s="9" t="n"/>
      <x:c r="X141" s="9" t="n"/>
      <x:c r="Y141" s="9" t="n"/>
      <x:c r="Z141" s="9" t="n"/>
    </x:row>
    <x:row r="142" s="71" customFormat="1" ht="12" customHeight="1">
      <x:c r="A142" s="9" t="n"/>
      <x:c r="B142" s="9" t="n"/>
      <x:c r="C142" s="9" t="n"/>
      <x:c r="D142" s="9" t="n"/>
      <x:c r="E142" s="82" t="n"/>
      <x:c r="F142" s="9" t="n"/>
      <x:c r="G142" s="9" t="n"/>
      <x:c r="H142" s="9" t="n"/>
      <x:c r="I142" s="9" t="n"/>
      <x:c r="J142" s="9" t="n"/>
      <x:c r="K142" s="9" t="n"/>
      <x:c r="L142" s="9" t="n"/>
      <x:c r="M142" s="9" t="n"/>
      <x:c r="N142" s="9" t="n"/>
      <x:c r="O142" s="9" t="n"/>
      <x:c r="P142" s="9" t="n"/>
      <x:c r="Q142" s="9" t="n"/>
      <x:c r="R142" s="9" t="n"/>
      <x:c r="S142" s="9" t="n"/>
      <x:c r="T142" s="9" t="n"/>
      <x:c r="U142" s="9" t="n"/>
      <x:c r="V142" s="9" t="n"/>
      <x:c r="W142" s="9" t="n"/>
      <x:c r="X142" s="9" t="n"/>
      <x:c r="Y142" s="9" t="n"/>
      <x:c r="Z142" s="9" t="n"/>
    </x:row>
    <x:row r="143" s="71" customFormat="1" ht="12" customHeight="1">
      <x:c r="A143" s="9" t="n"/>
      <x:c r="B143" s="9" t="n"/>
      <x:c r="C143" s="9" t="n"/>
      <x:c r="D143" s="9" t="n"/>
      <x:c r="E143" s="82" t="n"/>
      <x:c r="F143" s="9" t="n"/>
      <x:c r="G143" s="9" t="n"/>
      <x:c r="H143" s="9" t="n"/>
      <x:c r="I143" s="9" t="n"/>
      <x:c r="J143" s="9" t="n"/>
      <x:c r="K143" s="9" t="n"/>
      <x:c r="L143" s="9" t="n"/>
      <x:c r="M143" s="9" t="n"/>
      <x:c r="N143" s="9" t="n"/>
      <x:c r="O143" s="9" t="n"/>
      <x:c r="P143" s="9" t="n"/>
      <x:c r="Q143" s="9" t="n"/>
      <x:c r="R143" s="9" t="n"/>
      <x:c r="S143" s="9" t="n"/>
      <x:c r="T143" s="9" t="n"/>
      <x:c r="U143" s="9" t="n"/>
      <x:c r="V143" s="9" t="n"/>
      <x:c r="W143" s="9" t="n"/>
      <x:c r="X143" s="9" t="n"/>
      <x:c r="Y143" s="9" t="n"/>
      <x:c r="Z143" s="9" t="n"/>
    </x:row>
    <x:row r="144" s="71" customFormat="1" ht="12" customHeight="1">
      <x:c r="A144" s="9" t="n"/>
      <x:c r="B144" s="9" t="n"/>
      <x:c r="C144" s="9" t="n"/>
      <x:c r="D144" s="9" t="n"/>
      <x:c r="E144" s="82" t="n"/>
      <x:c r="F144" s="9" t="n"/>
      <x:c r="G144" s="9" t="n"/>
      <x:c r="H144" s="9" t="n"/>
      <x:c r="I144" s="9" t="n"/>
      <x:c r="J144" s="9" t="n"/>
      <x:c r="K144" s="9" t="n"/>
      <x:c r="L144" s="9" t="n"/>
      <x:c r="M144" s="9" t="n"/>
      <x:c r="N144" s="9" t="n"/>
      <x:c r="O144" s="9" t="n"/>
      <x:c r="P144" s="9" t="n"/>
      <x:c r="Q144" s="9" t="n"/>
      <x:c r="R144" s="9" t="n"/>
      <x:c r="S144" s="9" t="n"/>
      <x:c r="T144" s="9" t="n"/>
      <x:c r="U144" s="9" t="n"/>
      <x:c r="V144" s="9" t="n"/>
      <x:c r="W144" s="9" t="n"/>
      <x:c r="X144" s="9" t="n"/>
      <x:c r="Y144" s="9" t="n"/>
      <x:c r="Z144" s="9" t="n"/>
    </x:row>
    <x:row r="145" s="71" customFormat="1" ht="12" customHeight="1">
      <x:c r="A145" s="9" t="n"/>
      <x:c r="B145" s="9" t="n"/>
      <x:c r="C145" s="9" t="n"/>
      <x:c r="D145" s="9" t="n"/>
      <x:c r="E145" s="82" t="n"/>
      <x:c r="F145" s="9" t="n"/>
      <x:c r="G145" s="9" t="n"/>
      <x:c r="H145" s="9" t="n"/>
      <x:c r="I145" s="9" t="n"/>
      <x:c r="J145" s="9" t="n"/>
      <x:c r="K145" s="9" t="n"/>
      <x:c r="L145" s="9" t="n"/>
      <x:c r="M145" s="9" t="n"/>
      <x:c r="N145" s="9" t="n"/>
      <x:c r="O145" s="9" t="n"/>
      <x:c r="P145" s="9" t="n"/>
      <x:c r="Q145" s="9" t="n"/>
      <x:c r="R145" s="9" t="n"/>
      <x:c r="S145" s="9" t="n"/>
      <x:c r="T145" s="9" t="n"/>
      <x:c r="U145" s="9" t="n"/>
      <x:c r="V145" s="9" t="n"/>
      <x:c r="W145" s="9" t="n"/>
      <x:c r="X145" s="9" t="n"/>
      <x:c r="Y145" s="9" t="n"/>
      <x:c r="Z145" s="9" t="n"/>
    </x:row>
    <x:row r="146" s="71" customFormat="1" ht="12" customHeight="1">
      <x:c r="A146" s="9" t="n"/>
      <x:c r="B146" s="9" t="n"/>
      <x:c r="C146" s="9" t="n"/>
      <x:c r="D146" s="9" t="n"/>
      <x:c r="E146" s="82" t="n"/>
      <x:c r="F146" s="9" t="n"/>
      <x:c r="G146" s="9" t="n"/>
      <x:c r="H146" s="9" t="n"/>
      <x:c r="I146" s="9" t="n"/>
      <x:c r="J146" s="9" t="n"/>
      <x:c r="K146" s="9" t="n"/>
      <x:c r="L146" s="9" t="n"/>
      <x:c r="M146" s="9" t="n"/>
      <x:c r="N146" s="9" t="n"/>
      <x:c r="O146" s="9" t="n"/>
      <x:c r="P146" s="9" t="n"/>
      <x:c r="Q146" s="9" t="n"/>
      <x:c r="R146" s="9" t="n"/>
      <x:c r="S146" s="9" t="n"/>
      <x:c r="T146" s="9" t="n"/>
      <x:c r="U146" s="9" t="n"/>
      <x:c r="V146" s="9" t="n"/>
      <x:c r="W146" s="9" t="n"/>
      <x:c r="X146" s="9" t="n"/>
      <x:c r="Y146" s="9" t="n"/>
      <x:c r="Z146" s="9" t="n"/>
    </x:row>
    <x:row r="147" s="71" customFormat="1" ht="12" customHeight="1">
      <x:c r="A147" s="9" t="n"/>
      <x:c r="B147" s="9" t="n"/>
      <x:c r="C147" s="9" t="n"/>
      <x:c r="D147" s="9" t="n"/>
      <x:c r="E147" s="82" t="n"/>
      <x:c r="F147" s="9" t="n"/>
      <x:c r="G147" s="9" t="n"/>
      <x:c r="H147" s="9" t="n"/>
      <x:c r="I147" s="9" t="n"/>
      <x:c r="J147" s="9" t="n"/>
      <x:c r="K147" s="9" t="n"/>
      <x:c r="L147" s="9" t="n"/>
      <x:c r="M147" s="9" t="n"/>
      <x:c r="N147" s="9" t="n"/>
      <x:c r="O147" s="9" t="n"/>
      <x:c r="P147" s="9" t="n"/>
      <x:c r="Q147" s="9" t="n"/>
      <x:c r="R147" s="9" t="n"/>
      <x:c r="S147" s="9" t="n"/>
      <x:c r="T147" s="9" t="n"/>
      <x:c r="U147" s="9" t="n"/>
      <x:c r="V147" s="9" t="n"/>
      <x:c r="W147" s="9" t="n"/>
      <x:c r="X147" s="9" t="n"/>
      <x:c r="Y147" s="9" t="n"/>
      <x:c r="Z147" s="9" t="n"/>
    </x:row>
    <x:row r="148" s="71" customFormat="1" ht="12" customHeight="1">
      <x:c r="A148" s="9" t="n"/>
      <x:c r="B148" s="9" t="n"/>
      <x:c r="C148" s="9" t="n"/>
      <x:c r="D148" s="9" t="n"/>
      <x:c r="E148" s="82" t="n"/>
      <x:c r="F148" s="9" t="n"/>
      <x:c r="G148" s="9" t="n"/>
      <x:c r="H148" s="9" t="n"/>
      <x:c r="I148" s="9" t="n"/>
      <x:c r="J148" s="9" t="n"/>
      <x:c r="K148" s="9" t="n"/>
      <x:c r="L148" s="9" t="n"/>
      <x:c r="M148" s="9" t="n"/>
      <x:c r="N148" s="9" t="n"/>
      <x:c r="O148" s="9" t="n"/>
      <x:c r="P148" s="9" t="n"/>
      <x:c r="Q148" s="9" t="n"/>
      <x:c r="R148" s="9" t="n"/>
      <x:c r="S148" s="9" t="n"/>
      <x:c r="T148" s="9" t="n"/>
      <x:c r="U148" s="9" t="n"/>
      <x:c r="V148" s="9" t="n"/>
      <x:c r="W148" s="9" t="n"/>
      <x:c r="X148" s="9" t="n"/>
      <x:c r="Y148" s="9" t="n"/>
      <x:c r="Z148" s="9" t="n"/>
    </x:row>
    <x:row r="149" s="71" customFormat="1" ht="12" customHeight="1">
      <x:c r="A149" s="9" t="n"/>
      <x:c r="B149" s="9" t="n"/>
      <x:c r="C149" s="9" t="n"/>
      <x:c r="D149" s="9" t="n"/>
      <x:c r="E149" s="82" t="n"/>
      <x:c r="F149" s="9" t="n"/>
      <x:c r="G149" s="9" t="n"/>
      <x:c r="H149" s="9" t="n"/>
      <x:c r="I149" s="9" t="n"/>
      <x:c r="J149" s="9" t="n"/>
      <x:c r="K149" s="9" t="n"/>
      <x:c r="L149" s="9" t="n"/>
      <x:c r="M149" s="9" t="n"/>
      <x:c r="N149" s="9" t="n"/>
      <x:c r="O149" s="9" t="n"/>
      <x:c r="P149" s="9" t="n"/>
      <x:c r="Q149" s="9" t="n"/>
      <x:c r="R149" s="9" t="n"/>
      <x:c r="S149" s="9" t="n"/>
      <x:c r="T149" s="9" t="n"/>
      <x:c r="U149" s="9" t="n"/>
      <x:c r="V149" s="9" t="n"/>
      <x:c r="W149" s="9" t="n"/>
      <x:c r="X149" s="9" t="n"/>
      <x:c r="Y149" s="9" t="n"/>
      <x:c r="Z149" s="9" t="n"/>
    </x:row>
    <x:row r="150" s="71" customFormat="1" ht="12" customHeight="1">
      <x:c r="A150" s="9" t="n"/>
      <x:c r="B150" s="9" t="n"/>
      <x:c r="C150" s="9" t="n"/>
      <x:c r="D150" s="9" t="n"/>
      <x:c r="E150" s="82" t="n"/>
      <x:c r="F150" s="9" t="n"/>
      <x:c r="G150" s="9" t="n"/>
      <x:c r="H150" s="9" t="n"/>
      <x:c r="I150" s="9" t="n"/>
      <x:c r="J150" s="9" t="n"/>
      <x:c r="K150" s="9" t="n"/>
      <x:c r="L150" s="9" t="n"/>
      <x:c r="M150" s="9" t="n"/>
      <x:c r="N150" s="9" t="n"/>
      <x:c r="O150" s="9" t="n"/>
      <x:c r="P150" s="9" t="n"/>
      <x:c r="Q150" s="9" t="n"/>
      <x:c r="R150" s="9" t="n"/>
      <x:c r="S150" s="9" t="n"/>
      <x:c r="T150" s="9" t="n"/>
      <x:c r="U150" s="9" t="n"/>
      <x:c r="V150" s="9" t="n"/>
      <x:c r="W150" s="9" t="n"/>
      <x:c r="X150" s="9" t="n"/>
      <x:c r="Y150" s="9" t="n"/>
      <x:c r="Z150" s="9" t="n"/>
    </x:row>
    <x:row r="151" s="71" customFormat="1" ht="12" customHeight="1">
      <x:c r="A151" s="9" t="n"/>
      <x:c r="B151" s="9" t="n"/>
      <x:c r="C151" s="9" t="n"/>
      <x:c r="D151" s="9" t="n"/>
      <x:c r="E151" s="82" t="n"/>
      <x:c r="F151" s="9" t="n"/>
      <x:c r="G151" s="9" t="n"/>
      <x:c r="H151" s="9" t="n"/>
      <x:c r="I151" s="9" t="n"/>
      <x:c r="J151" s="9" t="n"/>
      <x:c r="K151" s="9" t="n"/>
      <x:c r="L151" s="9" t="n"/>
      <x:c r="M151" s="9" t="n"/>
      <x:c r="N151" s="9" t="n"/>
      <x:c r="O151" s="9" t="n"/>
      <x:c r="P151" s="9" t="n"/>
      <x:c r="Q151" s="9" t="n"/>
      <x:c r="R151" s="9" t="n"/>
      <x:c r="S151" s="9" t="n"/>
      <x:c r="T151" s="9" t="n"/>
      <x:c r="U151" s="9" t="n"/>
      <x:c r="V151" s="9" t="n"/>
      <x:c r="W151" s="9" t="n"/>
      <x:c r="X151" s="9" t="n"/>
      <x:c r="Y151" s="9" t="n"/>
      <x:c r="Z151" s="9" t="n"/>
    </x:row>
    <x:row r="152" s="71" customFormat="1" ht="12" customHeight="1">
      <x:c r="A152" s="9" t="n"/>
      <x:c r="B152" s="9" t="n"/>
      <x:c r="C152" s="9" t="n"/>
      <x:c r="D152" s="9" t="n"/>
      <x:c r="E152" s="82" t="n"/>
      <x:c r="F152" s="9" t="n"/>
      <x:c r="G152" s="9" t="n"/>
      <x:c r="H152" s="9" t="n"/>
      <x:c r="I152" s="9" t="n"/>
      <x:c r="J152" s="9" t="n"/>
      <x:c r="K152" s="9" t="n"/>
      <x:c r="L152" s="9" t="n"/>
      <x:c r="M152" s="9" t="n"/>
      <x:c r="N152" s="9" t="n"/>
      <x:c r="O152" s="9" t="n"/>
      <x:c r="P152" s="9" t="n"/>
      <x:c r="Q152" s="9" t="n"/>
      <x:c r="R152" s="9" t="n"/>
      <x:c r="S152" s="9" t="n"/>
      <x:c r="T152" s="9" t="n"/>
      <x:c r="U152" s="9" t="n"/>
      <x:c r="V152" s="9" t="n"/>
      <x:c r="W152" s="9" t="n"/>
      <x:c r="X152" s="9" t="n"/>
      <x:c r="Y152" s="9" t="n"/>
      <x:c r="Z152" s="9" t="n"/>
    </x:row>
    <x:row r="153" s="71" customFormat="1" ht="12" customHeight="1">
      <x:c r="A153" s="9" t="n"/>
      <x:c r="B153" s="9" t="n"/>
      <x:c r="C153" s="9" t="n"/>
      <x:c r="D153" s="9" t="n"/>
      <x:c r="E153" s="82" t="n"/>
      <x:c r="F153" s="9" t="n"/>
      <x:c r="G153" s="9" t="n"/>
      <x:c r="H153" s="9" t="n"/>
      <x:c r="I153" s="9" t="n"/>
      <x:c r="J153" s="9" t="n"/>
      <x:c r="K153" s="9" t="n"/>
      <x:c r="L153" s="9" t="n"/>
      <x:c r="M153" s="9" t="n"/>
      <x:c r="N153" s="9" t="n"/>
      <x:c r="O153" s="9" t="n"/>
      <x:c r="P153" s="9" t="n"/>
      <x:c r="Q153" s="9" t="n"/>
      <x:c r="R153" s="9" t="n"/>
      <x:c r="S153" s="9" t="n"/>
      <x:c r="T153" s="9" t="n"/>
      <x:c r="U153" s="9" t="n"/>
      <x:c r="V153" s="9" t="n"/>
      <x:c r="W153" s="9" t="n"/>
      <x:c r="X153" s="9" t="n"/>
      <x:c r="Y153" s="9" t="n"/>
      <x:c r="Z153" s="9" t="n"/>
    </x:row>
    <x:row r="154" s="71" customFormat="1" ht="12" customHeight="1">
      <x:c r="A154" s="9" t="n"/>
      <x:c r="B154" s="9" t="n"/>
      <x:c r="C154" s="9" t="n"/>
      <x:c r="D154" s="9" t="n"/>
      <x:c r="E154" s="82" t="n"/>
      <x:c r="F154" s="9" t="n"/>
      <x:c r="G154" s="9" t="n"/>
      <x:c r="H154" s="9" t="n"/>
      <x:c r="I154" s="9" t="n"/>
      <x:c r="J154" s="9" t="n"/>
      <x:c r="K154" s="9" t="n"/>
      <x:c r="L154" s="9" t="n"/>
      <x:c r="M154" s="9" t="n"/>
      <x:c r="N154" s="9" t="n"/>
      <x:c r="O154" s="9" t="n"/>
      <x:c r="P154" s="9" t="n"/>
      <x:c r="Q154" s="9" t="n"/>
      <x:c r="R154" s="9" t="n"/>
      <x:c r="S154" s="9" t="n"/>
      <x:c r="T154" s="9" t="n"/>
      <x:c r="U154" s="9" t="n"/>
      <x:c r="V154" s="9" t="n"/>
      <x:c r="W154" s="9" t="n"/>
      <x:c r="X154" s="9" t="n"/>
      <x:c r="Y154" s="9" t="n"/>
      <x:c r="Z154" s="9" t="n"/>
    </x:row>
    <x:row r="155" s="71" customFormat="1" ht="12" customHeight="1">
      <x:c r="A155" s="9" t="n"/>
      <x:c r="B155" s="9" t="n"/>
      <x:c r="C155" s="9" t="n"/>
      <x:c r="D155" s="9" t="n"/>
      <x:c r="E155" s="82" t="n"/>
      <x:c r="F155" s="9" t="n"/>
      <x:c r="G155" s="9" t="n"/>
      <x:c r="H155" s="9" t="n"/>
      <x:c r="I155" s="9" t="n"/>
      <x:c r="J155" s="9" t="n"/>
      <x:c r="K155" s="9" t="n"/>
      <x:c r="L155" s="9" t="n"/>
      <x:c r="M155" s="9" t="n"/>
      <x:c r="N155" s="9" t="n"/>
      <x:c r="O155" s="9" t="n"/>
      <x:c r="P155" s="9" t="n"/>
      <x:c r="Q155" s="9" t="n"/>
      <x:c r="R155" s="9" t="n"/>
      <x:c r="S155" s="9" t="n"/>
      <x:c r="T155" s="9" t="n"/>
      <x:c r="U155" s="9" t="n"/>
      <x:c r="V155" s="9" t="n"/>
      <x:c r="W155" s="9" t="n"/>
      <x:c r="X155" s="9" t="n"/>
      <x:c r="Y155" s="9" t="n"/>
      <x:c r="Z155" s="9" t="n"/>
    </x:row>
    <x:row r="156" s="71" customFormat="1" ht="12" customHeight="1">
      <x:c r="A156" s="9" t="n"/>
      <x:c r="B156" s="9" t="n"/>
      <x:c r="C156" s="9" t="n"/>
      <x:c r="D156" s="9" t="n"/>
      <x:c r="E156" s="82" t="n"/>
      <x:c r="F156" s="9" t="n"/>
      <x:c r="G156" s="9" t="n"/>
      <x:c r="H156" s="9" t="n"/>
      <x:c r="I156" s="9" t="n"/>
      <x:c r="J156" s="9" t="n"/>
      <x:c r="K156" s="9" t="n"/>
      <x:c r="L156" s="9" t="n"/>
      <x:c r="M156" s="9" t="n"/>
      <x:c r="N156" s="9" t="n"/>
      <x:c r="O156" s="9" t="n"/>
      <x:c r="P156" s="9" t="n"/>
      <x:c r="Q156" s="9" t="n"/>
      <x:c r="R156" s="9" t="n"/>
      <x:c r="S156" s="9" t="n"/>
      <x:c r="T156" s="9" t="n"/>
      <x:c r="U156" s="9" t="n"/>
      <x:c r="V156" s="9" t="n"/>
      <x:c r="W156" s="9" t="n"/>
      <x:c r="X156" s="9" t="n"/>
      <x:c r="Y156" s="9" t="n"/>
      <x:c r="Z156" s="9" t="n"/>
    </x:row>
    <x:row r="157" s="71" customFormat="1" ht="12" customHeight="1">
      <x:c r="A157" s="9" t="n"/>
      <x:c r="B157" s="9" t="n"/>
      <x:c r="C157" s="9" t="n"/>
      <x:c r="D157" s="9" t="n"/>
      <x:c r="E157" s="82" t="n"/>
      <x:c r="F157" s="9" t="n"/>
      <x:c r="G157" s="9" t="n"/>
      <x:c r="H157" s="9" t="n"/>
      <x:c r="I157" s="9" t="n"/>
      <x:c r="J157" s="9" t="n"/>
      <x:c r="K157" s="9" t="n"/>
      <x:c r="L157" s="9" t="n"/>
      <x:c r="M157" s="9" t="n"/>
      <x:c r="N157" s="9" t="n"/>
      <x:c r="O157" s="9" t="n"/>
      <x:c r="P157" s="9" t="n"/>
      <x:c r="Q157" s="9" t="n"/>
      <x:c r="R157" s="9" t="n"/>
      <x:c r="S157" s="9" t="n"/>
      <x:c r="T157" s="9" t="n"/>
      <x:c r="U157" s="9" t="n"/>
      <x:c r="V157" s="9" t="n"/>
      <x:c r="W157" s="9" t="n"/>
      <x:c r="X157" s="9" t="n"/>
      <x:c r="Y157" s="9" t="n"/>
      <x:c r="Z157" s="9" t="n"/>
    </x:row>
    <x:row r="158" s="71" customFormat="1" ht="12" customHeight="1">
      <x:c r="A158" s="9" t="n"/>
      <x:c r="B158" s="9" t="n"/>
      <x:c r="C158" s="9" t="n"/>
      <x:c r="D158" s="9" t="n"/>
      <x:c r="E158" s="82" t="n"/>
      <x:c r="F158" s="9" t="n"/>
      <x:c r="G158" s="9" t="n"/>
      <x:c r="H158" s="9" t="n"/>
      <x:c r="I158" s="9" t="n"/>
      <x:c r="J158" s="9" t="n"/>
      <x:c r="K158" s="9" t="n"/>
      <x:c r="L158" s="9" t="n"/>
      <x:c r="M158" s="9" t="n"/>
      <x:c r="N158" s="9" t="n"/>
      <x:c r="O158" s="9" t="n"/>
      <x:c r="P158" s="9" t="n"/>
      <x:c r="Q158" s="9" t="n"/>
      <x:c r="R158" s="9" t="n"/>
      <x:c r="S158" s="9" t="n"/>
      <x:c r="T158" s="9" t="n"/>
      <x:c r="U158" s="9" t="n"/>
      <x:c r="V158" s="9" t="n"/>
      <x:c r="W158" s="9" t="n"/>
      <x:c r="X158" s="9" t="n"/>
      <x:c r="Y158" s="9" t="n"/>
      <x:c r="Z158" s="9" t="n"/>
    </x:row>
    <x:row r="159" s="71" customFormat="1" ht="12" customHeight="1">
      <x:c r="A159" s="9" t="n"/>
      <x:c r="B159" s="9" t="n"/>
      <x:c r="C159" s="9" t="n"/>
      <x:c r="D159" s="9" t="n"/>
      <x:c r="E159" s="82" t="n"/>
      <x:c r="F159" s="9" t="n"/>
      <x:c r="G159" s="9" t="n"/>
      <x:c r="H159" s="9" t="n"/>
      <x:c r="I159" s="9" t="n"/>
      <x:c r="J159" s="9" t="n"/>
      <x:c r="K159" s="9" t="n"/>
      <x:c r="L159" s="9" t="n"/>
      <x:c r="M159" s="9" t="n"/>
      <x:c r="N159" s="9" t="n"/>
      <x:c r="O159" s="9" t="n"/>
      <x:c r="P159" s="9" t="n"/>
      <x:c r="Q159" s="9" t="n"/>
      <x:c r="R159" s="9" t="n"/>
      <x:c r="S159" s="9" t="n"/>
      <x:c r="T159" s="9" t="n"/>
      <x:c r="U159" s="9" t="n"/>
      <x:c r="V159" s="9" t="n"/>
      <x:c r="W159" s="9" t="n"/>
      <x:c r="X159" s="9" t="n"/>
      <x:c r="Y159" s="9" t="n"/>
      <x:c r="Z159" s="9" t="n"/>
    </x:row>
    <x:row r="160" s="71" customFormat="1" ht="12" customHeight="1">
      <x:c r="A160" s="9" t="n"/>
      <x:c r="B160" s="9" t="n"/>
      <x:c r="C160" s="9" t="n"/>
      <x:c r="D160" s="9" t="n"/>
      <x:c r="E160" s="82" t="n"/>
      <x:c r="F160" s="9" t="n"/>
      <x:c r="G160" s="9" t="n"/>
      <x:c r="H160" s="9" t="n"/>
      <x:c r="I160" s="9" t="n"/>
      <x:c r="J160" s="9" t="n"/>
      <x:c r="K160" s="9" t="n"/>
      <x:c r="L160" s="9" t="n"/>
      <x:c r="M160" s="9" t="n"/>
      <x:c r="N160" s="9" t="n"/>
      <x:c r="O160" s="9" t="n"/>
      <x:c r="P160" s="9" t="n"/>
      <x:c r="Q160" s="9" t="n"/>
      <x:c r="R160" s="9" t="n"/>
      <x:c r="S160" s="9" t="n"/>
      <x:c r="T160" s="9" t="n"/>
      <x:c r="U160" s="9" t="n"/>
      <x:c r="V160" s="9" t="n"/>
      <x:c r="W160" s="9" t="n"/>
      <x:c r="X160" s="9" t="n"/>
      <x:c r="Y160" s="9" t="n"/>
      <x:c r="Z160" s="9" t="n"/>
    </x:row>
    <x:row r="161" s="71" customFormat="1" ht="12" customHeight="1">
      <x:c r="A161" s="9" t="n"/>
      <x:c r="B161" s="9" t="n"/>
      <x:c r="C161" s="9" t="n"/>
      <x:c r="D161" s="9" t="n"/>
      <x:c r="E161" s="82" t="n"/>
      <x:c r="F161" s="9" t="n"/>
      <x:c r="G161" s="9" t="n"/>
      <x:c r="H161" s="9" t="n"/>
      <x:c r="I161" s="9" t="n"/>
      <x:c r="J161" s="9" t="n"/>
      <x:c r="K161" s="9" t="n"/>
      <x:c r="L161" s="9" t="n"/>
      <x:c r="M161" s="9" t="n"/>
      <x:c r="N161" s="9" t="n"/>
      <x:c r="O161" s="9" t="n"/>
      <x:c r="P161" s="9" t="n"/>
      <x:c r="Q161" s="9" t="n"/>
      <x:c r="R161" s="9" t="n"/>
      <x:c r="S161" s="9" t="n"/>
      <x:c r="T161" s="9" t="n"/>
      <x:c r="U161" s="9" t="n"/>
      <x:c r="V161" s="9" t="n"/>
      <x:c r="W161" s="9" t="n"/>
      <x:c r="X161" s="9" t="n"/>
      <x:c r="Y161" s="9" t="n"/>
      <x:c r="Z161" s="9" t="n"/>
    </x:row>
    <x:row r="162" s="71" customFormat="1" ht="12" customHeight="1">
      <x:c r="A162" s="9" t="n"/>
      <x:c r="B162" s="9" t="n"/>
      <x:c r="C162" s="9" t="n"/>
      <x:c r="D162" s="9" t="n"/>
      <x:c r="E162" s="82" t="n"/>
      <x:c r="F162" s="9" t="n"/>
      <x:c r="G162" s="9" t="n"/>
      <x:c r="H162" s="9" t="n"/>
      <x:c r="I162" s="9" t="n"/>
      <x:c r="J162" s="9" t="n"/>
      <x:c r="K162" s="9" t="n"/>
      <x:c r="L162" s="9" t="n"/>
      <x:c r="M162" s="9" t="n"/>
      <x:c r="N162" s="9" t="n"/>
      <x:c r="O162" s="9" t="n"/>
      <x:c r="P162" s="9" t="n"/>
      <x:c r="Q162" s="9" t="n"/>
      <x:c r="R162" s="9" t="n"/>
      <x:c r="S162" s="9" t="n"/>
      <x:c r="T162" s="9" t="n"/>
      <x:c r="U162" s="9" t="n"/>
      <x:c r="V162" s="9" t="n"/>
      <x:c r="W162" s="9" t="n"/>
      <x:c r="X162" s="9" t="n"/>
      <x:c r="Y162" s="9" t="n"/>
      <x:c r="Z162" s="9" t="n"/>
    </x:row>
    <x:row r="163" s="71" customFormat="1" ht="12" customHeight="1">
      <x:c r="A163" s="9" t="n"/>
      <x:c r="B163" s="9" t="n"/>
      <x:c r="C163" s="9" t="n"/>
      <x:c r="D163" s="9" t="n"/>
      <x:c r="E163" s="82" t="n"/>
      <x:c r="F163" s="9" t="n"/>
      <x:c r="G163" s="9" t="n"/>
      <x:c r="H163" s="9" t="n"/>
      <x:c r="I163" s="9" t="n"/>
      <x:c r="J163" s="9" t="n"/>
      <x:c r="K163" s="9" t="n"/>
      <x:c r="L163" s="9" t="n"/>
      <x:c r="M163" s="9" t="n"/>
      <x:c r="N163" s="9" t="n"/>
      <x:c r="O163" s="9" t="n"/>
      <x:c r="P163" s="9" t="n"/>
      <x:c r="Q163" s="9" t="n"/>
      <x:c r="R163" s="9" t="n"/>
      <x:c r="S163" s="9" t="n"/>
      <x:c r="T163" s="9" t="n"/>
      <x:c r="U163" s="9" t="n"/>
      <x:c r="V163" s="9" t="n"/>
      <x:c r="W163" s="9" t="n"/>
      <x:c r="X163" s="9" t="n"/>
      <x:c r="Y163" s="9" t="n"/>
      <x:c r="Z163" s="9" t="n"/>
    </x:row>
    <x:row r="164" s="71" customFormat="1" ht="12" customHeight="1">
      <x:c r="A164" s="9" t="n"/>
      <x:c r="B164" s="9" t="n"/>
      <x:c r="C164" s="9" t="n"/>
      <x:c r="D164" s="9" t="n"/>
      <x:c r="E164" s="82" t="n"/>
      <x:c r="F164" s="9" t="n"/>
      <x:c r="G164" s="9" t="n"/>
      <x:c r="H164" s="9" t="n"/>
      <x:c r="I164" s="9" t="n"/>
      <x:c r="J164" s="9" t="n"/>
      <x:c r="K164" s="9" t="n"/>
      <x:c r="L164" s="9" t="n"/>
      <x:c r="M164" s="9" t="n"/>
      <x:c r="N164" s="9" t="n"/>
      <x:c r="O164" s="9" t="n"/>
      <x:c r="P164" s="9" t="n"/>
      <x:c r="Q164" s="9" t="n"/>
      <x:c r="R164" s="9" t="n"/>
      <x:c r="S164" s="9" t="n"/>
      <x:c r="T164" s="9" t="n"/>
      <x:c r="U164" s="9" t="n"/>
      <x:c r="V164" s="9" t="n"/>
      <x:c r="W164" s="9" t="n"/>
      <x:c r="X164" s="9" t="n"/>
      <x:c r="Y164" s="9" t="n"/>
      <x:c r="Z164" s="9" t="n"/>
    </x:row>
    <x:row r="165" s="71" customFormat="1" ht="12" customHeight="1">
      <x:c r="A165" s="9" t="n"/>
      <x:c r="B165" s="9" t="n"/>
      <x:c r="C165" s="9" t="n"/>
      <x:c r="D165" s="9" t="n"/>
      <x:c r="E165" s="82" t="n"/>
      <x:c r="F165" s="9" t="n"/>
      <x:c r="G165" s="9" t="n"/>
      <x:c r="H165" s="9" t="n"/>
      <x:c r="I165" s="9" t="n"/>
      <x:c r="J165" s="9" t="n"/>
      <x:c r="K165" s="9" t="n"/>
      <x:c r="L165" s="9" t="n"/>
      <x:c r="M165" s="9" t="n"/>
      <x:c r="N165" s="9" t="n"/>
      <x:c r="O165" s="9" t="n"/>
      <x:c r="P165" s="9" t="n"/>
      <x:c r="Q165" s="9" t="n"/>
      <x:c r="R165" s="9" t="n"/>
      <x:c r="S165" s="9" t="n"/>
      <x:c r="T165" s="9" t="n"/>
      <x:c r="U165" s="9" t="n"/>
      <x:c r="V165" s="9" t="n"/>
      <x:c r="W165" s="9" t="n"/>
      <x:c r="X165" s="9" t="n"/>
      <x:c r="Y165" s="9" t="n"/>
      <x:c r="Z165" s="9" t="n"/>
    </x:row>
    <x:row r="166" s="71" customFormat="1" ht="12" customHeight="1">
      <x:c r="A166" s="9" t="n"/>
      <x:c r="B166" s="9" t="n"/>
      <x:c r="C166" s="9" t="n"/>
      <x:c r="D166" s="9" t="n"/>
      <x:c r="E166" s="82" t="n"/>
      <x:c r="F166" s="9" t="n"/>
      <x:c r="G166" s="9" t="n"/>
      <x:c r="H166" s="9" t="n"/>
      <x:c r="I166" s="9" t="n"/>
      <x:c r="J166" s="9" t="n"/>
      <x:c r="K166" s="9" t="n"/>
      <x:c r="L166" s="9" t="n"/>
      <x:c r="M166" s="9" t="n"/>
      <x:c r="N166" s="9" t="n"/>
      <x:c r="O166" s="9" t="n"/>
      <x:c r="P166" s="9" t="n"/>
      <x:c r="Q166" s="9" t="n"/>
      <x:c r="R166" s="9" t="n"/>
      <x:c r="S166" s="9" t="n"/>
      <x:c r="T166" s="9" t="n"/>
      <x:c r="U166" s="9" t="n"/>
      <x:c r="V166" s="9" t="n"/>
      <x:c r="W166" s="9" t="n"/>
      <x:c r="X166" s="9" t="n"/>
      <x:c r="Y166" s="9" t="n"/>
      <x:c r="Z166" s="9" t="n"/>
    </x:row>
    <x:row r="167" s="71" customFormat="1" ht="12" customHeight="1">
      <x:c r="A167" s="9" t="n"/>
      <x:c r="B167" s="9" t="n"/>
      <x:c r="C167" s="9" t="n"/>
      <x:c r="D167" s="9" t="n"/>
      <x:c r="E167" s="82" t="n"/>
      <x:c r="F167" s="9" t="n"/>
      <x:c r="G167" s="9" t="n"/>
      <x:c r="H167" s="9" t="n"/>
      <x:c r="I167" s="9" t="n"/>
      <x:c r="J167" s="9" t="n"/>
      <x:c r="K167" s="9" t="n"/>
      <x:c r="L167" s="9" t="n"/>
      <x:c r="M167" s="9" t="n"/>
      <x:c r="N167" s="9" t="n"/>
      <x:c r="O167" s="9" t="n"/>
      <x:c r="P167" s="9" t="n"/>
      <x:c r="Q167" s="9" t="n"/>
      <x:c r="R167" s="9" t="n"/>
      <x:c r="S167" s="9" t="n"/>
      <x:c r="T167" s="9" t="n"/>
      <x:c r="U167" s="9" t="n"/>
      <x:c r="V167" s="9" t="n"/>
      <x:c r="W167" s="9" t="n"/>
      <x:c r="X167" s="9" t="n"/>
      <x:c r="Y167" s="9" t="n"/>
      <x:c r="Z167" s="9" t="n"/>
    </x:row>
    <x:row r="168" s="71" customFormat="1" ht="12" customHeight="1">
      <x:c r="A168" s="9" t="n"/>
      <x:c r="B168" s="9" t="n"/>
      <x:c r="C168" s="9" t="n"/>
      <x:c r="D168" s="9" t="n"/>
      <x:c r="E168" s="82" t="n"/>
      <x:c r="F168" s="9" t="n"/>
      <x:c r="G168" s="9" t="n"/>
      <x:c r="H168" s="9" t="n"/>
      <x:c r="I168" s="9" t="n"/>
      <x:c r="J168" s="9" t="n"/>
      <x:c r="K168" s="9" t="n"/>
      <x:c r="L168" s="9" t="n"/>
      <x:c r="M168" s="9" t="n"/>
      <x:c r="N168" s="9" t="n"/>
      <x:c r="O168" s="9" t="n"/>
      <x:c r="P168" s="9" t="n"/>
      <x:c r="Q168" s="9" t="n"/>
      <x:c r="R168" s="9" t="n"/>
      <x:c r="S168" s="9" t="n"/>
      <x:c r="T168" s="9" t="n"/>
      <x:c r="U168" s="9" t="n"/>
      <x:c r="V168" s="9" t="n"/>
      <x:c r="W168" s="9" t="n"/>
      <x:c r="X168" s="9" t="n"/>
      <x:c r="Y168" s="9" t="n"/>
      <x:c r="Z168" s="9" t="n"/>
    </x:row>
    <x:row r="169" s="71" customFormat="1" ht="12" customHeight="1">
      <x:c r="A169" s="9" t="n"/>
      <x:c r="B169" s="9" t="n"/>
      <x:c r="C169" s="9" t="n"/>
      <x:c r="D169" s="9" t="n"/>
      <x:c r="E169" s="82" t="n"/>
      <x:c r="F169" s="9" t="n"/>
      <x:c r="G169" s="9" t="n"/>
      <x:c r="H169" s="9" t="n"/>
      <x:c r="I169" s="9" t="n"/>
      <x:c r="J169" s="9" t="n"/>
      <x:c r="K169" s="9" t="n"/>
      <x:c r="L169" s="9" t="n"/>
      <x:c r="M169" s="9" t="n"/>
      <x:c r="N169" s="9" t="n"/>
      <x:c r="O169" s="9" t="n"/>
      <x:c r="P169" s="9" t="n"/>
      <x:c r="Q169" s="9" t="n"/>
      <x:c r="R169" s="9" t="n"/>
      <x:c r="S169" s="9" t="n"/>
      <x:c r="T169" s="9" t="n"/>
      <x:c r="U169" s="9" t="n"/>
      <x:c r="V169" s="9" t="n"/>
      <x:c r="W169" s="9" t="n"/>
      <x:c r="X169" s="9" t="n"/>
      <x:c r="Y169" s="9" t="n"/>
      <x:c r="Z169" s="9" t="n"/>
    </x:row>
    <x:row r="170" s="71" customFormat="1" ht="12" customHeight="1">
      <x:c r="A170" s="9" t="n"/>
      <x:c r="B170" s="9" t="n"/>
      <x:c r="C170" s="9" t="n"/>
      <x:c r="D170" s="9" t="n"/>
      <x:c r="E170" s="82" t="n"/>
      <x:c r="F170" s="9" t="n"/>
      <x:c r="G170" s="9" t="n"/>
      <x:c r="H170" s="9" t="n"/>
      <x:c r="I170" s="9" t="n"/>
      <x:c r="J170" s="9" t="n"/>
      <x:c r="K170" s="9" t="n"/>
      <x:c r="L170" s="9" t="n"/>
      <x:c r="M170" s="9" t="n"/>
      <x:c r="N170" s="9" t="n"/>
      <x:c r="O170" s="9" t="n"/>
      <x:c r="P170" s="9" t="n"/>
      <x:c r="Q170" s="9" t="n"/>
      <x:c r="R170" s="9" t="n"/>
      <x:c r="S170" s="9" t="n"/>
      <x:c r="T170" s="9" t="n"/>
      <x:c r="U170" s="9" t="n"/>
      <x:c r="V170" s="9" t="n"/>
      <x:c r="W170" s="9" t="n"/>
      <x:c r="X170" s="9" t="n"/>
      <x:c r="Y170" s="9" t="n"/>
      <x:c r="Z170" s="9" t="n"/>
    </x:row>
    <x:row r="171" s="71" customFormat="1" ht="12" customHeight="1">
      <x:c r="A171" s="9" t="n"/>
      <x:c r="B171" s="9" t="n"/>
      <x:c r="C171" s="9" t="n"/>
      <x:c r="D171" s="9" t="n"/>
      <x:c r="E171" s="82" t="n"/>
      <x:c r="F171" s="9" t="n"/>
      <x:c r="G171" s="9" t="n"/>
      <x:c r="H171" s="9" t="n"/>
      <x:c r="I171" s="9" t="n"/>
      <x:c r="J171" s="9" t="n"/>
      <x:c r="K171" s="9" t="n"/>
      <x:c r="L171" s="9" t="n"/>
      <x:c r="M171" s="9" t="n"/>
      <x:c r="N171" s="9" t="n"/>
      <x:c r="O171" s="9" t="n"/>
      <x:c r="P171" s="9" t="n"/>
      <x:c r="Q171" s="9" t="n"/>
      <x:c r="R171" s="9" t="n"/>
      <x:c r="S171" s="9" t="n"/>
      <x:c r="T171" s="9" t="n"/>
      <x:c r="U171" s="9" t="n"/>
      <x:c r="V171" s="9" t="n"/>
      <x:c r="W171" s="9" t="n"/>
      <x:c r="X171" s="9" t="n"/>
      <x:c r="Y171" s="9" t="n"/>
      <x:c r="Z171" s="9" t="n"/>
    </x:row>
    <x:row r="172" s="71" customFormat="1" ht="12" customHeight="1">
      <x:c r="A172" s="9" t="n"/>
      <x:c r="B172" s="9" t="n"/>
      <x:c r="C172" s="9" t="n"/>
      <x:c r="D172" s="9" t="n"/>
      <x:c r="E172" s="82" t="n"/>
      <x:c r="F172" s="9" t="n"/>
      <x:c r="G172" s="9" t="n"/>
      <x:c r="H172" s="9" t="n"/>
      <x:c r="I172" s="9" t="n"/>
      <x:c r="J172" s="9" t="n"/>
      <x:c r="K172" s="9" t="n"/>
      <x:c r="L172" s="9" t="n"/>
      <x:c r="M172" s="9" t="n"/>
      <x:c r="N172" s="9" t="n"/>
      <x:c r="O172" s="9" t="n"/>
      <x:c r="P172" s="9" t="n"/>
      <x:c r="Q172" s="9" t="n"/>
      <x:c r="R172" s="9" t="n"/>
      <x:c r="S172" s="9" t="n"/>
      <x:c r="T172" s="9" t="n"/>
      <x:c r="U172" s="9" t="n"/>
      <x:c r="V172" s="9" t="n"/>
      <x:c r="W172" s="9" t="n"/>
      <x:c r="X172" s="9" t="n"/>
      <x:c r="Y172" s="9" t="n"/>
      <x:c r="Z172" s="9" t="n"/>
    </x:row>
    <x:row r="173" s="71" customFormat="1" ht="12" customHeight="1">
      <x:c r="A173" s="9" t="n"/>
      <x:c r="B173" s="9" t="n"/>
      <x:c r="C173" s="9" t="n"/>
      <x:c r="D173" s="9" t="n"/>
      <x:c r="E173" s="82" t="n"/>
      <x:c r="F173" s="9" t="n"/>
      <x:c r="G173" s="9" t="n"/>
      <x:c r="H173" s="9" t="n"/>
      <x:c r="I173" s="9" t="n"/>
      <x:c r="J173" s="9" t="n"/>
      <x:c r="K173" s="9" t="n"/>
      <x:c r="L173" s="9" t="n"/>
      <x:c r="M173" s="9" t="n"/>
      <x:c r="N173" s="9" t="n"/>
      <x:c r="O173" s="9" t="n"/>
      <x:c r="P173" s="9" t="n"/>
      <x:c r="Q173" s="9" t="n"/>
      <x:c r="R173" s="9" t="n"/>
      <x:c r="S173" s="9" t="n"/>
      <x:c r="T173" s="9" t="n"/>
      <x:c r="U173" s="9" t="n"/>
      <x:c r="V173" s="9" t="n"/>
      <x:c r="W173" s="9" t="n"/>
      <x:c r="X173" s="9" t="n"/>
      <x:c r="Y173" s="9" t="n"/>
      <x:c r="Z173" s="9" t="n"/>
    </x:row>
    <x:row r="174" s="71" customFormat="1" ht="12" customHeight="1">
      <x:c r="A174" s="9" t="n"/>
      <x:c r="B174" s="9" t="n"/>
      <x:c r="C174" s="9" t="n"/>
      <x:c r="D174" s="9" t="n"/>
      <x:c r="E174" s="82" t="n"/>
      <x:c r="F174" s="9" t="n"/>
      <x:c r="G174" s="9" t="n"/>
      <x:c r="H174" s="9" t="n"/>
      <x:c r="I174" s="9" t="n"/>
      <x:c r="J174" s="9" t="n"/>
      <x:c r="K174" s="9" t="n"/>
      <x:c r="L174" s="9" t="n"/>
      <x:c r="M174" s="9" t="n"/>
      <x:c r="N174" s="9" t="n"/>
      <x:c r="O174" s="9" t="n"/>
      <x:c r="P174" s="9" t="n"/>
      <x:c r="Q174" s="9" t="n"/>
      <x:c r="R174" s="9" t="n"/>
      <x:c r="S174" s="9" t="n"/>
      <x:c r="T174" s="9" t="n"/>
      <x:c r="U174" s="9" t="n"/>
      <x:c r="V174" s="9" t="n"/>
      <x:c r="W174" s="9" t="n"/>
      <x:c r="X174" s="9" t="n"/>
      <x:c r="Y174" s="9" t="n"/>
      <x:c r="Z174" s="9" t="n"/>
    </x:row>
    <x:row r="175" s="71" customFormat="1" ht="12" customHeight="1">
      <x:c r="A175" s="9" t="n"/>
      <x:c r="B175" s="9" t="n"/>
      <x:c r="C175" s="9" t="n"/>
      <x:c r="D175" s="9" t="n"/>
      <x:c r="E175" s="82" t="n"/>
      <x:c r="F175" s="9" t="n"/>
      <x:c r="G175" s="9" t="n"/>
      <x:c r="H175" s="9" t="n"/>
      <x:c r="I175" s="9" t="n"/>
      <x:c r="J175" s="9" t="n"/>
      <x:c r="K175" s="9" t="n"/>
      <x:c r="L175" s="9" t="n"/>
      <x:c r="M175" s="9" t="n"/>
      <x:c r="N175" s="9" t="n"/>
      <x:c r="O175" s="9" t="n"/>
      <x:c r="P175" s="9" t="n"/>
      <x:c r="Q175" s="9" t="n"/>
      <x:c r="R175" s="9" t="n"/>
      <x:c r="S175" s="9" t="n"/>
      <x:c r="T175" s="9" t="n"/>
      <x:c r="U175" s="9" t="n"/>
      <x:c r="V175" s="9" t="n"/>
      <x:c r="W175" s="9" t="n"/>
      <x:c r="X175" s="9" t="n"/>
      <x:c r="Y175" s="9" t="n"/>
      <x:c r="Z175" s="9" t="n"/>
    </x:row>
    <x:row r="176" s="71" customFormat="1" ht="12" customHeight="1">
      <x:c r="A176" s="9" t="n"/>
      <x:c r="B176" s="9" t="n"/>
      <x:c r="C176" s="9" t="n"/>
      <x:c r="D176" s="9" t="n"/>
      <x:c r="E176" s="82" t="n"/>
      <x:c r="F176" s="9" t="n"/>
      <x:c r="G176" s="9" t="n"/>
      <x:c r="H176" s="9" t="n"/>
      <x:c r="I176" s="9" t="n"/>
      <x:c r="J176" s="9" t="n"/>
      <x:c r="K176" s="9" t="n"/>
      <x:c r="L176" s="9" t="n"/>
      <x:c r="M176" s="9" t="n"/>
      <x:c r="N176" s="9" t="n"/>
      <x:c r="O176" s="9" t="n"/>
      <x:c r="P176" s="9" t="n"/>
      <x:c r="Q176" s="9" t="n"/>
      <x:c r="R176" s="9" t="n"/>
      <x:c r="S176" s="9" t="n"/>
      <x:c r="T176" s="9" t="n"/>
      <x:c r="U176" s="9" t="n"/>
      <x:c r="V176" s="9" t="n"/>
      <x:c r="W176" s="9" t="n"/>
      <x:c r="X176" s="9" t="n"/>
      <x:c r="Y176" s="9" t="n"/>
      <x:c r="Z176" s="9" t="n"/>
    </x:row>
    <x:row r="177" s="71" customFormat="1" ht="12" customHeight="1">
      <x:c r="A177" s="9" t="n"/>
      <x:c r="B177" s="9" t="n"/>
      <x:c r="C177" s="9" t="n"/>
      <x:c r="D177" s="9" t="n"/>
      <x:c r="E177" s="82" t="n"/>
      <x:c r="F177" s="9" t="n"/>
      <x:c r="G177" s="9" t="n"/>
      <x:c r="H177" s="9" t="n"/>
      <x:c r="I177" s="9" t="n"/>
      <x:c r="J177" s="9" t="n"/>
      <x:c r="K177" s="9" t="n"/>
      <x:c r="L177" s="9" t="n"/>
      <x:c r="M177" s="9" t="n"/>
      <x:c r="N177" s="9" t="n"/>
      <x:c r="O177" s="9" t="n"/>
      <x:c r="P177" s="9" t="n"/>
      <x:c r="Q177" s="9" t="n"/>
      <x:c r="R177" s="9" t="n"/>
      <x:c r="S177" s="9" t="n"/>
      <x:c r="T177" s="9" t="n"/>
      <x:c r="U177" s="9" t="n"/>
      <x:c r="V177" s="9" t="n"/>
      <x:c r="W177" s="9" t="n"/>
      <x:c r="X177" s="9" t="n"/>
      <x:c r="Y177" s="9" t="n"/>
      <x:c r="Z177" s="9" t="n"/>
    </x:row>
    <x:row r="178" s="71" customFormat="1" ht="12" customHeight="1">
      <x:c r="A178" s="9" t="n"/>
      <x:c r="B178" s="9" t="n"/>
      <x:c r="C178" s="9" t="n"/>
      <x:c r="D178" s="9" t="n"/>
      <x:c r="E178" s="82" t="n"/>
      <x:c r="F178" s="9" t="n"/>
      <x:c r="G178" s="9" t="n"/>
      <x:c r="H178" s="9" t="n"/>
      <x:c r="I178" s="9" t="n"/>
      <x:c r="J178" s="9" t="n"/>
      <x:c r="K178" s="9" t="n"/>
      <x:c r="L178" s="9" t="n"/>
      <x:c r="M178" s="9" t="n"/>
      <x:c r="N178" s="9" t="n"/>
      <x:c r="O178" s="9" t="n"/>
      <x:c r="P178" s="9" t="n"/>
      <x:c r="Q178" s="9" t="n"/>
      <x:c r="R178" s="9" t="n"/>
      <x:c r="S178" s="9" t="n"/>
      <x:c r="T178" s="9" t="n"/>
      <x:c r="U178" s="9" t="n"/>
      <x:c r="V178" s="9" t="n"/>
      <x:c r="W178" s="9" t="n"/>
      <x:c r="X178" s="9" t="n"/>
      <x:c r="Y178" s="9" t="n"/>
      <x:c r="Z178" s="9" t="n"/>
    </x:row>
    <x:row r="179" s="71" customFormat="1" ht="12" customHeight="1">
      <x:c r="A179" s="9" t="n"/>
      <x:c r="B179" s="9" t="n"/>
      <x:c r="C179" s="9" t="n"/>
      <x:c r="D179" s="9" t="n"/>
      <x:c r="E179" s="82" t="n"/>
      <x:c r="F179" s="9" t="n"/>
      <x:c r="G179" s="9" t="n"/>
      <x:c r="H179" s="9" t="n"/>
      <x:c r="I179" s="9" t="n"/>
      <x:c r="J179" s="9" t="n"/>
      <x:c r="K179" s="9" t="n"/>
      <x:c r="L179" s="9" t="n"/>
      <x:c r="M179" s="9" t="n"/>
      <x:c r="N179" s="9" t="n"/>
      <x:c r="O179" s="9" t="n"/>
      <x:c r="P179" s="9" t="n"/>
      <x:c r="Q179" s="9" t="n"/>
      <x:c r="R179" s="9" t="n"/>
      <x:c r="S179" s="9" t="n"/>
      <x:c r="T179" s="9" t="n"/>
      <x:c r="U179" s="9" t="n"/>
      <x:c r="V179" s="9" t="n"/>
      <x:c r="W179" s="9" t="n"/>
      <x:c r="X179" s="9" t="n"/>
      <x:c r="Y179" s="9" t="n"/>
      <x:c r="Z179" s="9" t="n"/>
    </x:row>
    <x:row r="180" s="71" customFormat="1" ht="12" customHeight="1">
      <x:c r="A180" s="9" t="n"/>
      <x:c r="B180" s="9" t="n"/>
      <x:c r="C180" s="9" t="n"/>
      <x:c r="D180" s="9" t="n"/>
      <x:c r="E180" s="82" t="n"/>
      <x:c r="F180" s="9" t="n"/>
      <x:c r="G180" s="9" t="n"/>
      <x:c r="H180" s="9" t="n"/>
      <x:c r="I180" s="9" t="n"/>
      <x:c r="J180" s="9" t="n"/>
      <x:c r="K180" s="9" t="n"/>
      <x:c r="L180" s="9" t="n"/>
      <x:c r="M180" s="9" t="n"/>
      <x:c r="N180" s="9" t="n"/>
      <x:c r="O180" s="9" t="n"/>
      <x:c r="P180" s="9" t="n"/>
      <x:c r="Q180" s="9" t="n"/>
      <x:c r="R180" s="9" t="n"/>
      <x:c r="S180" s="9" t="n"/>
      <x:c r="T180" s="9" t="n"/>
      <x:c r="U180" s="9" t="n"/>
      <x:c r="V180" s="9" t="n"/>
      <x:c r="W180" s="9" t="n"/>
      <x:c r="X180" s="9" t="n"/>
      <x:c r="Y180" s="9" t="n"/>
      <x:c r="Z180" s="9" t="n"/>
    </x:row>
    <x:row r="181" s="71" customFormat="1" ht="12" customHeight="1">
      <x:c r="A181" s="9" t="n"/>
      <x:c r="B181" s="9" t="n"/>
      <x:c r="C181" s="9" t="n"/>
      <x:c r="D181" s="9" t="n"/>
      <x:c r="E181" s="82" t="n"/>
      <x:c r="F181" s="9" t="n"/>
      <x:c r="G181" s="9" t="n"/>
      <x:c r="H181" s="9" t="n"/>
      <x:c r="I181" s="9" t="n"/>
      <x:c r="J181" s="9" t="n"/>
      <x:c r="K181" s="9" t="n"/>
      <x:c r="L181" s="9" t="n"/>
      <x:c r="M181" s="9" t="n"/>
      <x:c r="N181" s="9" t="n"/>
      <x:c r="O181" s="9" t="n"/>
      <x:c r="P181" s="9" t="n"/>
      <x:c r="Q181" s="9" t="n"/>
      <x:c r="R181" s="9" t="n"/>
      <x:c r="S181" s="9" t="n"/>
      <x:c r="T181" s="9" t="n"/>
      <x:c r="U181" s="9" t="n"/>
      <x:c r="V181" s="9" t="n"/>
      <x:c r="W181" s="9" t="n"/>
      <x:c r="X181" s="9" t="n"/>
      <x:c r="Y181" s="9" t="n"/>
      <x:c r="Z181" s="9" t="n"/>
    </x:row>
    <x:row r="182" s="71" customFormat="1" ht="12" customHeight="1">
      <x:c r="A182" s="9" t="n"/>
      <x:c r="B182" s="9" t="n"/>
      <x:c r="C182" s="9" t="n"/>
      <x:c r="D182" s="9" t="n"/>
      <x:c r="E182" s="82" t="n"/>
      <x:c r="F182" s="9" t="n"/>
      <x:c r="G182" s="9" t="n"/>
      <x:c r="H182" s="9" t="n"/>
      <x:c r="I182" s="9" t="n"/>
      <x:c r="J182" s="9" t="n"/>
      <x:c r="K182" s="9" t="n"/>
      <x:c r="L182" s="9" t="n"/>
      <x:c r="M182" s="9" t="n"/>
      <x:c r="N182" s="9" t="n"/>
      <x:c r="O182" s="9" t="n"/>
      <x:c r="P182" s="9" t="n"/>
      <x:c r="Q182" s="9" t="n"/>
      <x:c r="R182" s="9" t="n"/>
      <x:c r="S182" s="9" t="n"/>
      <x:c r="T182" s="9" t="n"/>
      <x:c r="U182" s="9" t="n"/>
      <x:c r="V182" s="9" t="n"/>
      <x:c r="W182" s="9" t="n"/>
      <x:c r="X182" s="9" t="n"/>
      <x:c r="Y182" s="9" t="n"/>
      <x:c r="Z182" s="9" t="n"/>
    </x:row>
    <x:row r="183" s="71" customFormat="1" ht="12" customHeight="1">
      <x:c r="A183" s="9" t="n"/>
      <x:c r="B183" s="9" t="n"/>
      <x:c r="C183" s="9" t="n"/>
      <x:c r="D183" s="9" t="n"/>
      <x:c r="E183" s="82" t="n"/>
      <x:c r="F183" s="9" t="n"/>
      <x:c r="G183" s="9" t="n"/>
      <x:c r="H183" s="9" t="n"/>
      <x:c r="I183" s="9" t="n"/>
      <x:c r="J183" s="9" t="n"/>
      <x:c r="K183" s="9" t="n"/>
      <x:c r="L183" s="9" t="n"/>
      <x:c r="M183" s="9" t="n"/>
      <x:c r="N183" s="9" t="n"/>
      <x:c r="O183" s="9" t="n"/>
      <x:c r="P183" s="9" t="n"/>
      <x:c r="Q183" s="9" t="n"/>
      <x:c r="R183" s="9" t="n"/>
      <x:c r="S183" s="9" t="n"/>
      <x:c r="T183" s="9" t="n"/>
      <x:c r="U183" s="9" t="n"/>
      <x:c r="V183" s="9" t="n"/>
      <x:c r="W183" s="9" t="n"/>
      <x:c r="X183" s="9" t="n"/>
      <x:c r="Y183" s="9" t="n"/>
      <x:c r="Z183" s="9" t="n"/>
    </x:row>
    <x:row r="184" s="71" customFormat="1" ht="12" customHeight="1">
      <x:c r="A184" s="9" t="n"/>
      <x:c r="B184" s="9" t="n"/>
      <x:c r="C184" s="9" t="n"/>
      <x:c r="D184" s="9" t="n"/>
      <x:c r="E184" s="82" t="n"/>
      <x:c r="F184" s="9" t="n"/>
      <x:c r="G184" s="9" t="n"/>
      <x:c r="H184" s="9" t="n"/>
      <x:c r="I184" s="9" t="n"/>
      <x:c r="J184" s="9" t="n"/>
      <x:c r="K184" s="9" t="n"/>
      <x:c r="L184" s="9" t="n"/>
      <x:c r="M184" s="9" t="n"/>
      <x:c r="N184" s="9" t="n"/>
      <x:c r="O184" s="9" t="n"/>
      <x:c r="P184" s="9" t="n"/>
      <x:c r="Q184" s="9" t="n"/>
      <x:c r="R184" s="9" t="n"/>
      <x:c r="S184" s="9" t="n"/>
      <x:c r="T184" s="9" t="n"/>
      <x:c r="U184" s="9" t="n"/>
      <x:c r="V184" s="9" t="n"/>
      <x:c r="W184" s="9" t="n"/>
      <x:c r="X184" s="9" t="n"/>
      <x:c r="Y184" s="9" t="n"/>
      <x:c r="Z184" s="9" t="n"/>
    </x:row>
    <x:row r="185" s="71" customFormat="1" ht="12" customHeight="1">
      <x:c r="A185" s="9" t="n"/>
      <x:c r="B185" s="9" t="n"/>
      <x:c r="C185" s="9" t="n"/>
      <x:c r="D185" s="9" t="n"/>
      <x:c r="E185" s="82" t="n"/>
      <x:c r="F185" s="9" t="n"/>
      <x:c r="G185" s="9" t="n"/>
      <x:c r="H185" s="9" t="n"/>
      <x:c r="I185" s="9" t="n"/>
      <x:c r="J185" s="9" t="n"/>
      <x:c r="K185" s="9" t="n"/>
      <x:c r="L185" s="9" t="n"/>
      <x:c r="M185" s="9" t="n"/>
      <x:c r="N185" s="9" t="n"/>
      <x:c r="O185" s="9" t="n"/>
      <x:c r="P185" s="9" t="n"/>
      <x:c r="Q185" s="9" t="n"/>
      <x:c r="R185" s="9" t="n"/>
      <x:c r="S185" s="9" t="n"/>
      <x:c r="T185" s="9" t="n"/>
      <x:c r="U185" s="9" t="n"/>
      <x:c r="V185" s="9" t="n"/>
      <x:c r="W185" s="9" t="n"/>
      <x:c r="X185" s="9" t="n"/>
      <x:c r="Y185" s="9" t="n"/>
      <x:c r="Z185" s="9" t="n"/>
    </x:row>
    <x:row r="186" s="71" customFormat="1" ht="12" customHeight="1">
      <x:c r="A186" s="9" t="n"/>
      <x:c r="B186" s="9" t="n"/>
      <x:c r="C186" s="9" t="n"/>
      <x:c r="D186" s="9" t="n"/>
      <x:c r="E186" s="82" t="n"/>
      <x:c r="F186" s="9" t="n"/>
      <x:c r="G186" s="9" t="n"/>
      <x:c r="H186" s="9" t="n"/>
      <x:c r="I186" s="9" t="n"/>
      <x:c r="J186" s="9" t="n"/>
      <x:c r="K186" s="9" t="n"/>
      <x:c r="L186" s="9" t="n"/>
      <x:c r="M186" s="9" t="n"/>
      <x:c r="N186" s="9" t="n"/>
      <x:c r="O186" s="9" t="n"/>
      <x:c r="P186" s="9" t="n"/>
      <x:c r="Q186" s="9" t="n"/>
      <x:c r="R186" s="9" t="n"/>
      <x:c r="S186" s="9" t="n"/>
      <x:c r="T186" s="9" t="n"/>
      <x:c r="U186" s="9" t="n"/>
      <x:c r="V186" s="9" t="n"/>
      <x:c r="W186" s="9" t="n"/>
      <x:c r="X186" s="9" t="n"/>
      <x:c r="Y186" s="9" t="n"/>
      <x:c r="Z186" s="9" t="n"/>
    </x:row>
    <x:row r="187" s="71" customFormat="1" ht="12" customHeight="1">
      <x:c r="A187" s="9" t="n"/>
      <x:c r="B187" s="9" t="n"/>
      <x:c r="C187" s="9" t="n"/>
      <x:c r="D187" s="9" t="n"/>
      <x:c r="E187" s="82" t="n"/>
      <x:c r="F187" s="9" t="n"/>
      <x:c r="G187" s="9" t="n"/>
      <x:c r="H187" s="9" t="n"/>
      <x:c r="I187" s="9" t="n"/>
      <x:c r="J187" s="9" t="n"/>
      <x:c r="K187" s="9" t="n"/>
      <x:c r="L187" s="9" t="n"/>
      <x:c r="M187" s="9" t="n"/>
      <x:c r="N187" s="9" t="n"/>
      <x:c r="O187" s="9" t="n"/>
      <x:c r="P187" s="9" t="n"/>
      <x:c r="Q187" s="9" t="n"/>
      <x:c r="R187" s="9" t="n"/>
      <x:c r="S187" s="9" t="n"/>
      <x:c r="T187" s="9" t="n"/>
      <x:c r="U187" s="9" t="n"/>
      <x:c r="V187" s="9" t="n"/>
      <x:c r="W187" s="9" t="n"/>
      <x:c r="X187" s="9" t="n"/>
      <x:c r="Y187" s="9" t="n"/>
      <x:c r="Z187" s="9" t="n"/>
    </x:row>
    <x:row r="188" s="71" customFormat="1" ht="12" customHeight="1">
      <x:c r="A188" s="9" t="n"/>
      <x:c r="B188" s="9" t="n"/>
      <x:c r="C188" s="9" t="n"/>
      <x:c r="D188" s="9" t="n"/>
      <x:c r="E188" s="82" t="n"/>
      <x:c r="F188" s="9" t="n"/>
      <x:c r="G188" s="9" t="n"/>
      <x:c r="H188" s="9" t="n"/>
      <x:c r="I188" s="9" t="n"/>
      <x:c r="J188" s="9" t="n"/>
      <x:c r="K188" s="9" t="n"/>
      <x:c r="L188" s="9" t="n"/>
      <x:c r="M188" s="9" t="n"/>
      <x:c r="N188" s="9" t="n"/>
      <x:c r="O188" s="9" t="n"/>
      <x:c r="P188" s="9" t="n"/>
      <x:c r="Q188" s="9" t="n"/>
      <x:c r="R188" s="9" t="n"/>
      <x:c r="S188" s="9" t="n"/>
      <x:c r="T188" s="9" t="n"/>
      <x:c r="U188" s="9" t="n"/>
      <x:c r="V188" s="9" t="n"/>
      <x:c r="W188" s="9" t="n"/>
      <x:c r="X188" s="9" t="n"/>
      <x:c r="Y188" s="9" t="n"/>
      <x:c r="Z188" s="9" t="n"/>
    </x:row>
    <x:row r="189" s="71" customFormat="1" ht="12" customHeight="1">
      <x:c r="A189" s="9" t="n"/>
      <x:c r="B189" s="9" t="n"/>
      <x:c r="C189" s="9" t="n"/>
      <x:c r="D189" s="9" t="n"/>
      <x:c r="E189" s="82" t="n"/>
      <x:c r="F189" s="9" t="n"/>
      <x:c r="G189" s="9" t="n"/>
      <x:c r="H189" s="9" t="n"/>
      <x:c r="I189" s="9" t="n"/>
      <x:c r="J189" s="9" t="n"/>
      <x:c r="K189" s="9" t="n"/>
      <x:c r="L189" s="9" t="n"/>
      <x:c r="M189" s="9" t="n"/>
      <x:c r="N189" s="9" t="n"/>
      <x:c r="O189" s="9" t="n"/>
      <x:c r="P189" s="9" t="n"/>
      <x:c r="Q189" s="9" t="n"/>
      <x:c r="R189" s="9" t="n"/>
      <x:c r="S189" s="9" t="n"/>
      <x:c r="T189" s="9" t="n"/>
      <x:c r="U189" s="9" t="n"/>
      <x:c r="V189" s="9" t="n"/>
      <x:c r="W189" s="9" t="n"/>
      <x:c r="X189" s="9" t="n"/>
      <x:c r="Y189" s="9" t="n"/>
      <x:c r="Z189" s="9" t="n"/>
    </x:row>
    <x:row r="190" s="71" customFormat="1" ht="12" customHeight="1">
      <x:c r="A190" s="9" t="n"/>
      <x:c r="B190" s="9" t="n"/>
      <x:c r="C190" s="9" t="n"/>
      <x:c r="D190" s="9" t="n"/>
      <x:c r="E190" s="82" t="n"/>
      <x:c r="F190" s="9" t="n"/>
      <x:c r="G190" s="9" t="n"/>
      <x:c r="H190" s="9" t="n"/>
      <x:c r="I190" s="9" t="n"/>
      <x:c r="J190" s="9" t="n"/>
      <x:c r="K190" s="9" t="n"/>
      <x:c r="L190" s="9" t="n"/>
      <x:c r="M190" s="9" t="n"/>
      <x:c r="N190" s="9" t="n"/>
      <x:c r="O190" s="9" t="n"/>
      <x:c r="P190" s="9" t="n"/>
      <x:c r="Q190" s="9" t="n"/>
      <x:c r="R190" s="9" t="n"/>
      <x:c r="S190" s="9" t="n"/>
      <x:c r="T190" s="9" t="n"/>
      <x:c r="U190" s="9" t="n"/>
      <x:c r="V190" s="9" t="n"/>
      <x:c r="W190" s="9" t="n"/>
      <x:c r="X190" s="9" t="n"/>
      <x:c r="Y190" s="9" t="n"/>
      <x:c r="Z190" s="9" t="n"/>
    </x:row>
    <x:row r="191" s="71" customFormat="1" ht="12" customHeight="1">
      <x:c r="A191" s="9" t="n"/>
      <x:c r="B191" s="9" t="n"/>
      <x:c r="C191" s="9" t="n"/>
      <x:c r="D191" s="9" t="n"/>
      <x:c r="E191" s="82" t="n"/>
      <x:c r="F191" s="9" t="n"/>
      <x:c r="G191" s="9" t="n"/>
      <x:c r="H191" s="9" t="n"/>
      <x:c r="I191" s="9" t="n"/>
      <x:c r="J191" s="9" t="n"/>
      <x:c r="K191" s="9" t="n"/>
      <x:c r="L191" s="9" t="n"/>
      <x:c r="M191" s="9" t="n"/>
      <x:c r="N191" s="9" t="n"/>
      <x:c r="O191" s="9" t="n"/>
      <x:c r="P191" s="9" t="n"/>
      <x:c r="Q191" s="9" t="n"/>
      <x:c r="R191" s="9" t="n"/>
      <x:c r="S191" s="9" t="n"/>
      <x:c r="T191" s="9" t="n"/>
      <x:c r="U191" s="9" t="n"/>
      <x:c r="V191" s="9" t="n"/>
      <x:c r="W191" s="9" t="n"/>
      <x:c r="X191" s="9" t="n"/>
      <x:c r="Y191" s="9" t="n"/>
      <x:c r="Z191" s="9" t="n"/>
    </x:row>
    <x:row r="192" s="71" customFormat="1" ht="12" customHeight="1">
      <x:c r="A192" s="9" t="n"/>
      <x:c r="B192" s="9" t="n"/>
      <x:c r="C192" s="9" t="n"/>
      <x:c r="D192" s="9" t="n"/>
      <x:c r="E192" s="82" t="n"/>
      <x:c r="F192" s="9" t="n"/>
      <x:c r="G192" s="9" t="n"/>
      <x:c r="H192" s="9" t="n"/>
      <x:c r="I192" s="9" t="n"/>
      <x:c r="J192" s="9" t="n"/>
      <x:c r="K192" s="9" t="n"/>
      <x:c r="L192" s="9" t="n"/>
      <x:c r="M192" s="9" t="n"/>
      <x:c r="N192" s="9" t="n"/>
      <x:c r="O192" s="9" t="n"/>
      <x:c r="P192" s="9" t="n"/>
      <x:c r="Q192" s="9" t="n"/>
      <x:c r="R192" s="9" t="n"/>
      <x:c r="S192" s="9" t="n"/>
      <x:c r="T192" s="9" t="n"/>
      <x:c r="U192" s="9" t="n"/>
      <x:c r="V192" s="9" t="n"/>
      <x:c r="W192" s="9" t="n"/>
      <x:c r="X192" s="9" t="n"/>
      <x:c r="Y192" s="9" t="n"/>
      <x:c r="Z192" s="9" t="n"/>
    </x:row>
    <x:row r="193" s="71" customFormat="1" ht="12" customHeight="1">
      <x:c r="A193" s="9" t="n"/>
      <x:c r="B193" s="9" t="n"/>
      <x:c r="C193" s="9" t="n"/>
      <x:c r="D193" s="9" t="n"/>
      <x:c r="E193" s="82" t="n"/>
      <x:c r="F193" s="9" t="n"/>
      <x:c r="G193" s="9" t="n"/>
      <x:c r="H193" s="9" t="n"/>
      <x:c r="I193" s="9" t="n"/>
      <x:c r="J193" s="9" t="n"/>
      <x:c r="K193" s="9" t="n"/>
      <x:c r="L193" s="9" t="n"/>
      <x:c r="M193" s="9" t="n"/>
      <x:c r="N193" s="9" t="n"/>
      <x:c r="O193" s="9" t="n"/>
      <x:c r="P193" s="9" t="n"/>
      <x:c r="Q193" s="9" t="n"/>
      <x:c r="R193" s="9" t="n"/>
      <x:c r="S193" s="9" t="n"/>
      <x:c r="T193" s="9" t="n"/>
      <x:c r="U193" s="9" t="n"/>
      <x:c r="V193" s="9" t="n"/>
      <x:c r="W193" s="9" t="n"/>
      <x:c r="X193" s="9" t="n"/>
      <x:c r="Y193" s="9" t="n"/>
      <x:c r="Z193" s="9" t="n"/>
    </x:row>
    <x:row r="194" s="71" customFormat="1" ht="12" customHeight="1">
      <x:c r="A194" s="9" t="n"/>
      <x:c r="B194" s="9" t="n"/>
      <x:c r="C194" s="9" t="n"/>
      <x:c r="D194" s="9" t="n"/>
      <x:c r="E194" s="82" t="n"/>
      <x:c r="F194" s="9" t="n"/>
      <x:c r="G194" s="9" t="n"/>
      <x:c r="H194" s="9" t="n"/>
      <x:c r="I194" s="9" t="n"/>
      <x:c r="J194" s="9" t="n"/>
      <x:c r="K194" s="9" t="n"/>
      <x:c r="L194" s="9" t="n"/>
      <x:c r="M194" s="9" t="n"/>
      <x:c r="N194" s="9" t="n"/>
      <x:c r="O194" s="9" t="n"/>
      <x:c r="P194" s="9" t="n"/>
      <x:c r="Q194" s="9" t="n"/>
      <x:c r="R194" s="9" t="n"/>
      <x:c r="S194" s="9" t="n"/>
      <x:c r="T194" s="9" t="n"/>
      <x:c r="U194" s="9" t="n"/>
      <x:c r="V194" s="9" t="n"/>
      <x:c r="W194" s="9" t="n"/>
      <x:c r="X194" s="9" t="n"/>
      <x:c r="Y194" s="9" t="n"/>
      <x:c r="Z194" s="9" t="n"/>
    </x:row>
    <x:row r="195" s="71" customFormat="1" ht="12" customHeight="1">
      <x:c r="A195" s="9" t="n"/>
      <x:c r="B195" s="9" t="n"/>
      <x:c r="C195" s="9" t="n"/>
      <x:c r="D195" s="9" t="n"/>
      <x:c r="E195" s="82" t="n"/>
      <x:c r="F195" s="9" t="n"/>
      <x:c r="G195" s="9" t="n"/>
      <x:c r="H195" s="9" t="n"/>
      <x:c r="I195" s="9" t="n"/>
      <x:c r="J195" s="9" t="n"/>
      <x:c r="K195" s="9" t="n"/>
      <x:c r="L195" s="9" t="n"/>
      <x:c r="M195" s="9" t="n"/>
      <x:c r="N195" s="9" t="n"/>
      <x:c r="O195" s="9" t="n"/>
      <x:c r="P195" s="9" t="n"/>
      <x:c r="Q195" s="9" t="n"/>
      <x:c r="R195" s="9" t="n"/>
      <x:c r="S195" s="9" t="n"/>
      <x:c r="T195" s="9" t="n"/>
      <x:c r="U195" s="9" t="n"/>
      <x:c r="V195" s="9" t="n"/>
      <x:c r="W195" s="9" t="n"/>
      <x:c r="X195" s="9" t="n"/>
      <x:c r="Y195" s="9" t="n"/>
      <x:c r="Z195" s="9" t="n"/>
    </x:row>
    <x:row r="196" s="71" customFormat="1" ht="12" customHeight="1">
      <x:c r="A196" s="9" t="n"/>
      <x:c r="B196" s="9" t="n"/>
      <x:c r="C196" s="9" t="n"/>
      <x:c r="D196" s="9" t="n"/>
      <x:c r="E196" s="82" t="n"/>
      <x:c r="F196" s="9" t="n"/>
      <x:c r="G196" s="9" t="n"/>
      <x:c r="H196" s="9" t="n"/>
      <x:c r="I196" s="9" t="n"/>
      <x:c r="J196" s="9" t="n"/>
      <x:c r="K196" s="9" t="n"/>
      <x:c r="L196" s="9" t="n"/>
      <x:c r="M196" s="9" t="n"/>
      <x:c r="N196" s="9" t="n"/>
      <x:c r="O196" s="9" t="n"/>
      <x:c r="P196" s="9" t="n"/>
      <x:c r="Q196" s="9" t="n"/>
      <x:c r="R196" s="9" t="n"/>
      <x:c r="S196" s="9" t="n"/>
      <x:c r="T196" s="9" t="n"/>
      <x:c r="U196" s="9" t="n"/>
      <x:c r="V196" s="9" t="n"/>
      <x:c r="W196" s="9" t="n"/>
      <x:c r="X196" s="9" t="n"/>
      <x:c r="Y196" s="9" t="n"/>
      <x:c r="Z196" s="9" t="n"/>
    </x:row>
    <x:row r="197" s="71" customFormat="1" ht="12" customHeight="1">
      <x:c r="A197" s="9" t="n"/>
      <x:c r="B197" s="9" t="n"/>
      <x:c r="C197" s="9" t="n"/>
      <x:c r="D197" s="9" t="n"/>
      <x:c r="E197" s="82" t="n"/>
      <x:c r="F197" s="9" t="n"/>
      <x:c r="G197" s="9" t="n"/>
      <x:c r="H197" s="9" t="n"/>
      <x:c r="I197" s="9" t="n"/>
      <x:c r="J197" s="9" t="n"/>
      <x:c r="K197" s="9" t="n"/>
      <x:c r="L197" s="9" t="n"/>
      <x:c r="M197" s="9" t="n"/>
      <x:c r="N197" s="9" t="n"/>
      <x:c r="O197" s="9" t="n"/>
      <x:c r="P197" s="9" t="n"/>
      <x:c r="Q197" s="9" t="n"/>
      <x:c r="R197" s="9" t="n"/>
      <x:c r="S197" s="9" t="n"/>
      <x:c r="T197" s="9" t="n"/>
      <x:c r="U197" s="9" t="n"/>
      <x:c r="V197" s="9" t="n"/>
      <x:c r="W197" s="9" t="n"/>
      <x:c r="X197" s="9" t="n"/>
      <x:c r="Y197" s="9" t="n"/>
      <x:c r="Z197" s="9" t="n"/>
    </x:row>
    <x:row r="198" s="71" customFormat="1" ht="12" customHeight="1">
      <x:c r="A198" s="9" t="n"/>
      <x:c r="B198" s="9" t="n"/>
      <x:c r="C198" s="9" t="n"/>
      <x:c r="D198" s="9" t="n"/>
      <x:c r="E198" s="82" t="n"/>
      <x:c r="F198" s="9" t="n"/>
      <x:c r="G198" s="9" t="n"/>
      <x:c r="H198" s="9" t="n"/>
      <x:c r="I198" s="9" t="n"/>
      <x:c r="J198" s="9" t="n"/>
      <x:c r="K198" s="9" t="n"/>
      <x:c r="L198" s="9" t="n"/>
      <x:c r="M198" s="9" t="n"/>
      <x:c r="N198" s="9" t="n"/>
      <x:c r="O198" s="9" t="n"/>
      <x:c r="P198" s="9" t="n"/>
      <x:c r="Q198" s="9" t="n"/>
      <x:c r="R198" s="9" t="n"/>
      <x:c r="S198" s="9" t="n"/>
      <x:c r="T198" s="9" t="n"/>
      <x:c r="U198" s="9" t="n"/>
      <x:c r="V198" s="9" t="n"/>
      <x:c r="W198" s="9" t="n"/>
      <x:c r="X198" s="9" t="n"/>
      <x:c r="Y198" s="9" t="n"/>
      <x:c r="Z198" s="9" t="n"/>
    </x:row>
    <x:row r="199" s="71" customFormat="1" ht="12" customHeight="1">
      <x:c r="A199" s="9" t="n"/>
      <x:c r="B199" s="9" t="n"/>
      <x:c r="C199" s="9" t="n"/>
      <x:c r="D199" s="9" t="n"/>
      <x:c r="E199" s="82" t="n"/>
      <x:c r="F199" s="9" t="n"/>
      <x:c r="G199" s="9" t="n"/>
      <x:c r="H199" s="9" t="n"/>
      <x:c r="I199" s="9" t="n"/>
      <x:c r="J199" s="9" t="n"/>
      <x:c r="K199" s="9" t="n"/>
      <x:c r="L199" s="9" t="n"/>
      <x:c r="M199" s="9" t="n"/>
      <x:c r="N199" s="9" t="n"/>
      <x:c r="O199" s="9" t="n"/>
      <x:c r="P199" s="9" t="n"/>
      <x:c r="Q199" s="9" t="n"/>
      <x:c r="R199" s="9" t="n"/>
      <x:c r="S199" s="9" t="n"/>
      <x:c r="T199" s="9" t="n"/>
      <x:c r="U199" s="9" t="n"/>
      <x:c r="V199" s="9" t="n"/>
      <x:c r="W199" s="9" t="n"/>
      <x:c r="X199" s="9" t="n"/>
      <x:c r="Y199" s="9" t="n"/>
      <x:c r="Z199" s="9" t="n"/>
    </x:row>
    <x:row r="200" s="71" customFormat="1" ht="12" customHeight="1">
      <x:c r="A200" s="9" t="n"/>
      <x:c r="B200" s="9" t="n"/>
      <x:c r="C200" s="9" t="n"/>
      <x:c r="D200" s="9" t="n"/>
      <x:c r="E200" s="82" t="n"/>
      <x:c r="F200" s="9" t="n"/>
      <x:c r="G200" s="9" t="n"/>
      <x:c r="H200" s="9" t="n"/>
      <x:c r="I200" s="9" t="n"/>
      <x:c r="J200" s="9" t="n"/>
      <x:c r="K200" s="9" t="n"/>
      <x:c r="L200" s="9" t="n"/>
      <x:c r="M200" s="9" t="n"/>
      <x:c r="N200" s="9" t="n"/>
      <x:c r="O200" s="9" t="n"/>
      <x:c r="P200" s="9" t="n"/>
      <x:c r="Q200" s="9" t="n"/>
      <x:c r="R200" s="9" t="n"/>
      <x:c r="S200" s="9" t="n"/>
      <x:c r="T200" s="9" t="n"/>
      <x:c r="U200" s="9" t="n"/>
      <x:c r="V200" s="9" t="n"/>
      <x:c r="W200" s="9" t="n"/>
      <x:c r="X200" s="9" t="n"/>
      <x:c r="Y200" s="9" t="n"/>
      <x:c r="Z200" s="9" t="n"/>
    </x:row>
    <x:row r="201" s="71" customFormat="1" ht="12" customHeight="1">
      <x:c r="A201" s="9" t="n"/>
      <x:c r="B201" s="9" t="n"/>
      <x:c r="C201" s="9" t="n"/>
      <x:c r="D201" s="9" t="n"/>
      <x:c r="E201" s="82" t="n"/>
      <x:c r="F201" s="9" t="n"/>
      <x:c r="G201" s="9" t="n"/>
      <x:c r="H201" s="9" t="n"/>
      <x:c r="I201" s="9" t="n"/>
      <x:c r="J201" s="9" t="n"/>
      <x:c r="K201" s="9" t="n"/>
      <x:c r="L201" s="9" t="n"/>
      <x:c r="M201" s="9" t="n"/>
      <x:c r="N201" s="9" t="n"/>
      <x:c r="O201" s="9" t="n"/>
      <x:c r="P201" s="9" t="n"/>
      <x:c r="Q201" s="9" t="n"/>
      <x:c r="R201" s="9" t="n"/>
      <x:c r="S201" s="9" t="n"/>
      <x:c r="T201" s="9" t="n"/>
      <x:c r="U201" s="9" t="n"/>
      <x:c r="V201" s="9" t="n"/>
      <x:c r="W201" s="9" t="n"/>
      <x:c r="X201" s="9" t="n"/>
      <x:c r="Y201" s="9" t="n"/>
      <x:c r="Z201" s="9" t="n"/>
    </x:row>
    <x:row r="202" s="71" customFormat="1" ht="12" customHeight="1">
      <x:c r="A202" s="9" t="n"/>
      <x:c r="B202" s="9" t="n"/>
      <x:c r="C202" s="9" t="n"/>
      <x:c r="D202" s="9" t="n"/>
      <x:c r="E202" s="82" t="n"/>
      <x:c r="F202" s="9" t="n"/>
      <x:c r="G202" s="9" t="n"/>
      <x:c r="H202" s="9" t="n"/>
      <x:c r="I202" s="9" t="n"/>
      <x:c r="J202" s="9" t="n"/>
      <x:c r="K202" s="9" t="n"/>
      <x:c r="L202" s="9" t="n"/>
      <x:c r="M202" s="9" t="n"/>
      <x:c r="N202" s="9" t="n"/>
      <x:c r="O202" s="9" t="n"/>
      <x:c r="P202" s="9" t="n"/>
      <x:c r="Q202" s="9" t="n"/>
      <x:c r="R202" s="9" t="n"/>
      <x:c r="S202" s="9" t="n"/>
      <x:c r="T202" s="9" t="n"/>
      <x:c r="U202" s="9" t="n"/>
      <x:c r="V202" s="9" t="n"/>
      <x:c r="W202" s="9" t="n"/>
      <x:c r="X202" s="9" t="n"/>
      <x:c r="Y202" s="9" t="n"/>
      <x:c r="Z202" s="9" t="n"/>
    </x:row>
    <x:row r="203" s="71" customFormat="1" ht="12" customHeight="1">
      <x:c r="A203" s="9" t="n"/>
      <x:c r="B203" s="9" t="n"/>
      <x:c r="C203" s="9" t="n"/>
      <x:c r="D203" s="9" t="n"/>
      <x:c r="E203" s="82" t="n"/>
      <x:c r="F203" s="9" t="n"/>
      <x:c r="G203" s="9" t="n"/>
      <x:c r="H203" s="9" t="n"/>
      <x:c r="I203" s="9" t="n"/>
      <x:c r="J203" s="9" t="n"/>
      <x:c r="K203" s="9" t="n"/>
      <x:c r="L203" s="9" t="n"/>
      <x:c r="M203" s="9" t="n"/>
      <x:c r="N203" s="9" t="n"/>
      <x:c r="O203" s="9" t="n"/>
      <x:c r="P203" s="9" t="n"/>
      <x:c r="Q203" s="9" t="n"/>
      <x:c r="R203" s="9" t="n"/>
      <x:c r="S203" s="9" t="n"/>
      <x:c r="T203" s="9" t="n"/>
      <x:c r="U203" s="9" t="n"/>
      <x:c r="V203" s="9" t="n"/>
      <x:c r="W203" s="9" t="n"/>
      <x:c r="X203" s="9" t="n"/>
      <x:c r="Y203" s="9" t="n"/>
      <x:c r="Z203" s="9" t="n"/>
    </x:row>
    <x:row r="204" s="71" customFormat="1" ht="12" customHeight="1">
      <x:c r="A204" s="9" t="n"/>
      <x:c r="B204" s="9" t="n"/>
      <x:c r="C204" s="9" t="n"/>
      <x:c r="D204" s="9" t="n"/>
      <x:c r="E204" s="82" t="n"/>
      <x:c r="F204" s="9" t="n"/>
      <x:c r="G204" s="9" t="n"/>
      <x:c r="H204" s="9" t="n"/>
      <x:c r="I204" s="9" t="n"/>
      <x:c r="J204" s="9" t="n"/>
      <x:c r="K204" s="9" t="n"/>
      <x:c r="L204" s="9" t="n"/>
      <x:c r="M204" s="9" t="n"/>
      <x:c r="N204" s="9" t="n"/>
      <x:c r="O204" s="9" t="n"/>
      <x:c r="P204" s="9" t="n"/>
      <x:c r="Q204" s="9" t="n"/>
      <x:c r="R204" s="9" t="n"/>
      <x:c r="S204" s="9" t="n"/>
      <x:c r="T204" s="9" t="n"/>
      <x:c r="U204" s="9" t="n"/>
      <x:c r="V204" s="9" t="n"/>
      <x:c r="W204" s="9" t="n"/>
      <x:c r="X204" s="9" t="n"/>
      <x:c r="Y204" s="9" t="n"/>
      <x:c r="Z204" s="9" t="n"/>
    </x:row>
    <x:row r="205" s="71" customFormat="1" ht="12" customHeight="1">
      <x:c r="A205" s="9" t="n"/>
      <x:c r="B205" s="9" t="n"/>
      <x:c r="C205" s="9" t="n"/>
      <x:c r="D205" s="9" t="n"/>
      <x:c r="E205" s="82" t="n"/>
      <x:c r="F205" s="9" t="n"/>
      <x:c r="G205" s="9" t="n"/>
      <x:c r="H205" s="9" t="n"/>
      <x:c r="I205" s="9" t="n"/>
      <x:c r="J205" s="9" t="n"/>
      <x:c r="K205" s="9" t="n"/>
      <x:c r="L205" s="9" t="n"/>
      <x:c r="M205" s="9" t="n"/>
      <x:c r="N205" s="9" t="n"/>
      <x:c r="O205" s="9" t="n"/>
      <x:c r="P205" s="9" t="n"/>
      <x:c r="Q205" s="9" t="n"/>
      <x:c r="R205" s="9" t="n"/>
      <x:c r="S205" s="9" t="n"/>
      <x:c r="T205" s="9" t="n"/>
      <x:c r="U205" s="9" t="n"/>
      <x:c r="V205" s="9" t="n"/>
      <x:c r="W205" s="9" t="n"/>
      <x:c r="X205" s="9" t="n"/>
      <x:c r="Y205" s="9" t="n"/>
      <x:c r="Z205" s="9" t="n"/>
    </x:row>
    <x:row r="206" s="71" customFormat="1" ht="12" customHeight="1">
      <x:c r="A206" s="9" t="n"/>
      <x:c r="B206" s="9" t="n"/>
      <x:c r="C206" s="9" t="n"/>
      <x:c r="D206" s="9" t="n"/>
      <x:c r="E206" s="82" t="n"/>
      <x:c r="F206" s="9" t="n"/>
      <x:c r="G206" s="9" t="n"/>
      <x:c r="H206" s="9" t="n"/>
      <x:c r="I206" s="9" t="n"/>
      <x:c r="J206" s="9" t="n"/>
      <x:c r="K206" s="9" t="n"/>
      <x:c r="L206" s="9" t="n"/>
      <x:c r="M206" s="9" t="n"/>
      <x:c r="N206" s="9" t="n"/>
      <x:c r="O206" s="9" t="n"/>
      <x:c r="P206" s="9" t="n"/>
      <x:c r="Q206" s="9" t="n"/>
      <x:c r="R206" s="9" t="n"/>
      <x:c r="S206" s="9" t="n"/>
      <x:c r="T206" s="9" t="n"/>
      <x:c r="U206" s="9" t="n"/>
      <x:c r="V206" s="9" t="n"/>
      <x:c r="W206" s="9" t="n"/>
      <x:c r="X206" s="9" t="n"/>
      <x:c r="Y206" s="9" t="n"/>
      <x:c r="Z206" s="9" t="n"/>
    </x:row>
    <x:row r="207" s="71" customFormat="1" ht="12" customHeight="1">
      <x:c r="A207" s="9" t="n"/>
      <x:c r="B207" s="9" t="n"/>
      <x:c r="C207" s="9" t="n"/>
      <x:c r="D207" s="9" t="n"/>
      <x:c r="E207" s="82" t="n"/>
      <x:c r="F207" s="9" t="n"/>
      <x:c r="G207" s="9" t="n"/>
      <x:c r="H207" s="9" t="n"/>
      <x:c r="I207" s="9" t="n"/>
      <x:c r="J207" s="9" t="n"/>
      <x:c r="K207" s="9" t="n"/>
      <x:c r="L207" s="9" t="n"/>
      <x:c r="M207" s="9" t="n"/>
      <x:c r="N207" s="9" t="n"/>
      <x:c r="O207" s="9" t="n"/>
      <x:c r="P207" s="9" t="n"/>
      <x:c r="Q207" s="9" t="n"/>
      <x:c r="R207" s="9" t="n"/>
      <x:c r="S207" s="9" t="n"/>
      <x:c r="T207" s="9" t="n"/>
      <x:c r="U207" s="9" t="n"/>
      <x:c r="V207" s="9" t="n"/>
      <x:c r="W207" s="9" t="n"/>
      <x:c r="X207" s="9" t="n"/>
      <x:c r="Y207" s="9" t="n"/>
      <x:c r="Z207" s="9" t="n"/>
    </x:row>
    <x:row r="208" s="71" customFormat="1" ht="12" customHeight="1">
      <x:c r="A208" s="9" t="n"/>
      <x:c r="B208" s="9" t="n"/>
      <x:c r="C208" s="9" t="n"/>
      <x:c r="D208" s="9" t="n"/>
      <x:c r="E208" s="82" t="n"/>
      <x:c r="F208" s="9" t="n"/>
      <x:c r="G208" s="9" t="n"/>
      <x:c r="H208" s="9" t="n"/>
      <x:c r="I208" s="9" t="n"/>
      <x:c r="J208" s="9" t="n"/>
      <x:c r="K208" s="9" t="n"/>
      <x:c r="L208" s="9" t="n"/>
      <x:c r="M208" s="9" t="n"/>
      <x:c r="N208" s="9" t="n"/>
      <x:c r="O208" s="9" t="n"/>
      <x:c r="P208" s="9" t="n"/>
      <x:c r="Q208" s="9" t="n"/>
      <x:c r="R208" s="9" t="n"/>
      <x:c r="S208" s="9" t="n"/>
      <x:c r="T208" s="9" t="n"/>
      <x:c r="U208" s="9" t="n"/>
      <x:c r="V208" s="9" t="n"/>
      <x:c r="W208" s="9" t="n"/>
      <x:c r="X208" s="9" t="n"/>
      <x:c r="Y208" s="9" t="n"/>
      <x:c r="Z208" s="9" t="n"/>
    </x:row>
    <x:row r="209" s="71" customFormat="1" ht="12" customHeight="1">
      <x:c r="A209" s="9" t="n"/>
      <x:c r="B209" s="9" t="n"/>
      <x:c r="C209" s="9" t="n"/>
      <x:c r="D209" s="9" t="n"/>
      <x:c r="E209" s="82" t="n"/>
      <x:c r="F209" s="9" t="n"/>
      <x:c r="G209" s="9" t="n"/>
      <x:c r="H209" s="9" t="n"/>
      <x:c r="I209" s="9" t="n"/>
      <x:c r="J209" s="9" t="n"/>
      <x:c r="K209" s="9" t="n"/>
      <x:c r="L209" s="9" t="n"/>
      <x:c r="M209" s="9" t="n"/>
      <x:c r="N209" s="9" t="n"/>
      <x:c r="O209" s="9" t="n"/>
      <x:c r="P209" s="9" t="n"/>
      <x:c r="Q209" s="9" t="n"/>
      <x:c r="R209" s="9" t="n"/>
      <x:c r="S209" s="9" t="n"/>
      <x:c r="T209" s="9" t="n"/>
      <x:c r="U209" s="9" t="n"/>
      <x:c r="V209" s="9" t="n"/>
      <x:c r="W209" s="9" t="n"/>
      <x:c r="X209" s="9" t="n"/>
      <x:c r="Y209" s="9" t="n"/>
      <x:c r="Z209" s="9" t="n"/>
    </x:row>
    <x:row r="210" s="71" customFormat="1" ht="12" customHeight="1">
      <x:c r="A210" s="9" t="n"/>
      <x:c r="B210" s="9" t="n"/>
      <x:c r="C210" s="9" t="n"/>
      <x:c r="D210" s="9" t="n"/>
      <x:c r="E210" s="82" t="n"/>
      <x:c r="F210" s="9" t="n"/>
      <x:c r="G210" s="9" t="n"/>
      <x:c r="H210" s="9" t="n"/>
      <x:c r="I210" s="9" t="n"/>
      <x:c r="J210" s="9" t="n"/>
      <x:c r="K210" s="9" t="n"/>
      <x:c r="L210" s="9" t="n"/>
      <x:c r="M210" s="9" t="n"/>
      <x:c r="N210" s="9" t="n"/>
      <x:c r="O210" s="9" t="n"/>
      <x:c r="P210" s="9" t="n"/>
      <x:c r="Q210" s="9" t="n"/>
      <x:c r="R210" s="9" t="n"/>
      <x:c r="S210" s="9" t="n"/>
      <x:c r="T210" s="9" t="n"/>
      <x:c r="U210" s="9" t="n"/>
      <x:c r="V210" s="9" t="n"/>
      <x:c r="W210" s="9" t="n"/>
      <x:c r="X210" s="9" t="n"/>
      <x:c r="Y210" s="9" t="n"/>
      <x:c r="Z210" s="9" t="n"/>
    </x:row>
    <x:row r="211" s="71" customFormat="1" ht="12" customHeight="1">
      <x:c r="A211" s="9" t="n"/>
      <x:c r="B211" s="9" t="n"/>
      <x:c r="C211" s="9" t="n"/>
      <x:c r="D211" s="9" t="n"/>
      <x:c r="E211" s="82" t="n"/>
      <x:c r="F211" s="9" t="n"/>
      <x:c r="G211" s="9" t="n"/>
      <x:c r="H211" s="9" t="n"/>
      <x:c r="I211" s="9" t="n"/>
      <x:c r="J211" s="9" t="n"/>
      <x:c r="K211" s="9" t="n"/>
      <x:c r="L211" s="9" t="n"/>
      <x:c r="M211" s="9" t="n"/>
      <x:c r="N211" s="9" t="n"/>
      <x:c r="O211" s="9" t="n"/>
      <x:c r="P211" s="9" t="n"/>
      <x:c r="Q211" s="9" t="n"/>
      <x:c r="R211" s="9" t="n"/>
      <x:c r="S211" s="9" t="n"/>
      <x:c r="T211" s="9" t="n"/>
      <x:c r="U211" s="9" t="n"/>
      <x:c r="V211" s="9" t="n"/>
      <x:c r="W211" s="9" t="n"/>
      <x:c r="X211" s="9" t="n"/>
      <x:c r="Y211" s="9" t="n"/>
      <x:c r="Z211" s="9" t="n"/>
    </x:row>
    <x:row r="212" s="71" customFormat="1" ht="12" customHeight="1">
      <x:c r="A212" s="9" t="n"/>
      <x:c r="B212" s="9" t="n"/>
      <x:c r="C212" s="9" t="n"/>
      <x:c r="D212" s="9" t="n"/>
      <x:c r="E212" s="82" t="n"/>
      <x:c r="F212" s="9" t="n"/>
      <x:c r="G212" s="9" t="n"/>
      <x:c r="H212" s="9" t="n"/>
      <x:c r="I212" s="9" t="n"/>
      <x:c r="J212" s="9" t="n"/>
      <x:c r="K212" s="9" t="n"/>
      <x:c r="L212" s="9" t="n"/>
      <x:c r="M212" s="9" t="n"/>
      <x:c r="N212" s="9" t="n"/>
      <x:c r="O212" s="9" t="n"/>
      <x:c r="P212" s="9" t="n"/>
      <x:c r="Q212" s="9" t="n"/>
      <x:c r="R212" s="9" t="n"/>
      <x:c r="S212" s="9" t="n"/>
      <x:c r="T212" s="9" t="n"/>
      <x:c r="U212" s="9" t="n"/>
      <x:c r="V212" s="9" t="n"/>
      <x:c r="W212" s="9" t="n"/>
      <x:c r="X212" s="9" t="n"/>
      <x:c r="Y212" s="9" t="n"/>
      <x:c r="Z212" s="9" t="n"/>
    </x:row>
    <x:row r="213" s="71" customFormat="1" ht="12" customHeight="1">
      <x:c r="A213" s="9" t="n"/>
      <x:c r="B213" s="9" t="n"/>
      <x:c r="C213" s="9" t="n"/>
      <x:c r="D213" s="9" t="n"/>
      <x:c r="E213" s="82" t="n"/>
      <x:c r="F213" s="9" t="n"/>
      <x:c r="G213" s="9" t="n"/>
      <x:c r="H213" s="9" t="n"/>
      <x:c r="I213" s="9" t="n"/>
      <x:c r="J213" s="9" t="n"/>
      <x:c r="K213" s="9" t="n"/>
      <x:c r="L213" s="9" t="n"/>
      <x:c r="M213" s="9" t="n"/>
      <x:c r="N213" s="9" t="n"/>
      <x:c r="O213" s="9" t="n"/>
      <x:c r="P213" s="9" t="n"/>
      <x:c r="Q213" s="9" t="n"/>
      <x:c r="R213" s="9" t="n"/>
      <x:c r="S213" s="9" t="n"/>
      <x:c r="T213" s="9" t="n"/>
      <x:c r="U213" s="9" t="n"/>
      <x:c r="V213" s="9" t="n"/>
      <x:c r="W213" s="9" t="n"/>
      <x:c r="X213" s="9" t="n"/>
      <x:c r="Y213" s="9" t="n"/>
      <x:c r="Z213" s="9" t="n"/>
    </x:row>
    <x:row r="214" s="71" customFormat="1" ht="12" customHeight="1">
      <x:c r="A214" s="9" t="n"/>
      <x:c r="B214" s="9" t="n"/>
      <x:c r="C214" s="9" t="n"/>
      <x:c r="D214" s="9" t="n"/>
      <x:c r="E214" s="82" t="n"/>
      <x:c r="F214" s="9" t="n"/>
      <x:c r="G214" s="9" t="n"/>
      <x:c r="H214" s="9" t="n"/>
      <x:c r="I214" s="9" t="n"/>
      <x:c r="J214" s="9" t="n"/>
      <x:c r="K214" s="9" t="n"/>
      <x:c r="L214" s="9" t="n"/>
      <x:c r="M214" s="9" t="n"/>
      <x:c r="N214" s="9" t="n"/>
      <x:c r="O214" s="9" t="n"/>
      <x:c r="P214" s="9" t="n"/>
      <x:c r="Q214" s="9" t="n"/>
      <x:c r="R214" s="9" t="n"/>
      <x:c r="S214" s="9" t="n"/>
      <x:c r="T214" s="9" t="n"/>
      <x:c r="U214" s="9" t="n"/>
      <x:c r="V214" s="9" t="n"/>
      <x:c r="W214" s="9" t="n"/>
      <x:c r="X214" s="9" t="n"/>
      <x:c r="Y214" s="9" t="n"/>
      <x:c r="Z214" s="9" t="n"/>
    </x:row>
    <x:row r="215" s="71" customFormat="1" ht="12" customHeight="1">
      <x:c r="A215" s="9" t="n"/>
      <x:c r="B215" s="9" t="n"/>
      <x:c r="C215" s="9" t="n"/>
      <x:c r="D215" s="9" t="n"/>
      <x:c r="E215" s="82" t="n"/>
      <x:c r="F215" s="9" t="n"/>
      <x:c r="G215" s="9" t="n"/>
      <x:c r="H215" s="9" t="n"/>
      <x:c r="I215" s="9" t="n"/>
      <x:c r="J215" s="9" t="n"/>
      <x:c r="K215" s="9" t="n"/>
      <x:c r="L215" s="9" t="n"/>
      <x:c r="M215" s="9" t="n"/>
      <x:c r="N215" s="9" t="n"/>
      <x:c r="O215" s="9" t="n"/>
      <x:c r="P215" s="9" t="n"/>
      <x:c r="Q215" s="9" t="n"/>
      <x:c r="R215" s="9" t="n"/>
      <x:c r="S215" s="9" t="n"/>
      <x:c r="T215" s="9" t="n"/>
      <x:c r="U215" s="9" t="n"/>
      <x:c r="V215" s="9" t="n"/>
      <x:c r="W215" s="9" t="n"/>
      <x:c r="X215" s="9" t="n"/>
      <x:c r="Y215" s="9" t="n"/>
      <x:c r="Z215" s="9" t="n"/>
    </x:row>
    <x:row r="216" s="71" customFormat="1" ht="12" customHeight="1">
      <x:c r="A216" s="9" t="n"/>
      <x:c r="B216" s="9" t="n"/>
      <x:c r="C216" s="9" t="n"/>
      <x:c r="D216" s="9" t="n"/>
      <x:c r="E216" s="82" t="n"/>
      <x:c r="F216" s="9" t="n"/>
      <x:c r="G216" s="9" t="n"/>
      <x:c r="H216" s="9" t="n"/>
      <x:c r="I216" s="9" t="n"/>
      <x:c r="J216" s="9" t="n"/>
      <x:c r="K216" s="9" t="n"/>
      <x:c r="L216" s="9" t="n"/>
      <x:c r="M216" s="9" t="n"/>
      <x:c r="N216" s="9" t="n"/>
      <x:c r="O216" s="9" t="n"/>
      <x:c r="P216" s="9" t="n"/>
      <x:c r="Q216" s="9" t="n"/>
      <x:c r="R216" s="9" t="n"/>
      <x:c r="S216" s="9" t="n"/>
      <x:c r="T216" s="9" t="n"/>
      <x:c r="U216" s="9" t="n"/>
      <x:c r="V216" s="9" t="n"/>
      <x:c r="W216" s="9" t="n"/>
      <x:c r="X216" s="9" t="n"/>
      <x:c r="Y216" s="9" t="n"/>
      <x:c r="Z216" s="9" t="n"/>
    </x:row>
    <x:row r="217" s="71" customFormat="1" ht="12" customHeight="1">
      <x:c r="A217" s="9" t="n"/>
      <x:c r="B217" s="9" t="n"/>
      <x:c r="C217" s="9" t="n"/>
      <x:c r="D217" s="9" t="n"/>
      <x:c r="E217" s="82" t="n"/>
      <x:c r="F217" s="9" t="n"/>
      <x:c r="G217" s="9" t="n"/>
      <x:c r="H217" s="9" t="n"/>
      <x:c r="I217" s="9" t="n"/>
      <x:c r="J217" s="9" t="n"/>
      <x:c r="K217" s="9" t="n"/>
      <x:c r="L217" s="9" t="n"/>
      <x:c r="M217" s="9" t="n"/>
      <x:c r="N217" s="9" t="n"/>
      <x:c r="O217" s="9" t="n"/>
      <x:c r="P217" s="9" t="n"/>
      <x:c r="Q217" s="9" t="n"/>
      <x:c r="R217" s="9" t="n"/>
      <x:c r="S217" s="9" t="n"/>
      <x:c r="T217" s="9" t="n"/>
      <x:c r="U217" s="9" t="n"/>
      <x:c r="V217" s="9" t="n"/>
      <x:c r="W217" s="9" t="n"/>
      <x:c r="X217" s="9" t="n"/>
      <x:c r="Y217" s="9" t="n"/>
      <x:c r="Z217" s="9" t="n"/>
    </x:row>
    <x:row r="218" s="71" customFormat="1" ht="12" customHeight="1">
      <x:c r="A218" s="9" t="n"/>
      <x:c r="B218" s="9" t="n"/>
      <x:c r="C218" s="9" t="n"/>
      <x:c r="D218" s="9" t="n"/>
      <x:c r="E218" s="82" t="n"/>
      <x:c r="F218" s="9" t="n"/>
      <x:c r="G218" s="9" t="n"/>
      <x:c r="H218" s="9" t="n"/>
      <x:c r="I218" s="9" t="n"/>
      <x:c r="J218" s="9" t="n"/>
      <x:c r="K218" s="9" t="n"/>
      <x:c r="L218" s="9" t="n"/>
      <x:c r="M218" s="9" t="n"/>
      <x:c r="N218" s="9" t="n"/>
      <x:c r="O218" s="9" t="n"/>
      <x:c r="P218" s="9" t="n"/>
      <x:c r="Q218" s="9" t="n"/>
      <x:c r="R218" s="9" t="n"/>
      <x:c r="S218" s="9" t="n"/>
      <x:c r="T218" s="9" t="n"/>
      <x:c r="U218" s="9" t="n"/>
      <x:c r="V218" s="9" t="n"/>
      <x:c r="W218" s="9" t="n"/>
      <x:c r="X218" s="9" t="n"/>
      <x:c r="Y218" s="9" t="n"/>
      <x:c r="Z218" s="9" t="n"/>
    </x:row>
    <x:row r="219" s="71" customFormat="1" ht="12" customHeight="1">
      <x:c r="A219" s="9" t="n"/>
      <x:c r="B219" s="9" t="n"/>
      <x:c r="C219" s="9" t="n"/>
      <x:c r="D219" s="9" t="n"/>
      <x:c r="E219" s="82" t="n"/>
      <x:c r="F219" s="9" t="n"/>
      <x:c r="G219" s="9" t="n"/>
      <x:c r="H219" s="9" t="n"/>
      <x:c r="I219" s="9" t="n"/>
      <x:c r="J219" s="9" t="n"/>
      <x:c r="K219" s="9" t="n"/>
      <x:c r="L219" s="9" t="n"/>
      <x:c r="M219" s="9" t="n"/>
      <x:c r="N219" s="9" t="n"/>
      <x:c r="O219" s="9" t="n"/>
      <x:c r="P219" s="9" t="n"/>
      <x:c r="Q219" s="9" t="n"/>
      <x:c r="R219" s="9" t="n"/>
      <x:c r="S219" s="9" t="n"/>
      <x:c r="T219" s="9" t="n"/>
      <x:c r="U219" s="9" t="n"/>
      <x:c r="V219" s="9" t="n"/>
      <x:c r="W219" s="9" t="n"/>
      <x:c r="X219" s="9" t="n"/>
      <x:c r="Y219" s="9" t="n"/>
      <x:c r="Z219" s="9" t="n"/>
    </x:row>
    <x:row r="220" s="71" customFormat="1" ht="12" customHeight="1">
      <x:c r="A220" s="9" t="n"/>
      <x:c r="B220" s="9" t="n"/>
      <x:c r="C220" s="9" t="n"/>
      <x:c r="D220" s="9" t="n"/>
      <x:c r="E220" s="82" t="n"/>
      <x:c r="F220" s="9" t="n"/>
      <x:c r="G220" s="9" t="n"/>
      <x:c r="H220" s="9" t="n"/>
      <x:c r="I220" s="9" t="n"/>
      <x:c r="J220" s="9" t="n"/>
      <x:c r="K220" s="9" t="n"/>
      <x:c r="L220" s="9" t="n"/>
      <x:c r="M220" s="9" t="n"/>
      <x:c r="N220" s="9" t="n"/>
      <x:c r="O220" s="9" t="n"/>
      <x:c r="P220" s="9" t="n"/>
      <x:c r="Q220" s="9" t="n"/>
      <x:c r="R220" s="9" t="n"/>
      <x:c r="S220" s="9" t="n"/>
      <x:c r="T220" s="9" t="n"/>
      <x:c r="U220" s="9" t="n"/>
      <x:c r="V220" s="9" t="n"/>
      <x:c r="W220" s="9" t="n"/>
      <x:c r="X220" s="9" t="n"/>
      <x:c r="Y220" s="9" t="n"/>
      <x:c r="Z220" s="9" t="n"/>
    </x:row>
    <x:row r="221" s="71" customFormat="1" ht="12" customHeight="1">
      <x:c r="A221" s="9" t="n"/>
      <x:c r="B221" s="9" t="n"/>
      <x:c r="C221" s="9" t="n"/>
      <x:c r="D221" s="9" t="n"/>
      <x:c r="E221" s="82" t="n"/>
      <x:c r="F221" s="9" t="n"/>
      <x:c r="G221" s="9" t="n"/>
      <x:c r="H221" s="9" t="n"/>
      <x:c r="I221" s="9" t="n"/>
      <x:c r="J221" s="9" t="n"/>
      <x:c r="K221" s="9" t="n"/>
      <x:c r="L221" s="9" t="n"/>
      <x:c r="M221" s="9" t="n"/>
      <x:c r="N221" s="9" t="n"/>
      <x:c r="O221" s="9" t="n"/>
      <x:c r="P221" s="9" t="n"/>
      <x:c r="Q221" s="9" t="n"/>
      <x:c r="R221" s="9" t="n"/>
      <x:c r="S221" s="9" t="n"/>
      <x:c r="T221" s="9" t="n"/>
      <x:c r="U221" s="9" t="n"/>
      <x:c r="V221" s="9" t="n"/>
      <x:c r="W221" s="9" t="n"/>
      <x:c r="X221" s="9" t="n"/>
      <x:c r="Y221" s="9" t="n"/>
      <x:c r="Z221" s="9" t="n"/>
    </x:row>
    <x:row r="222" s="71" customFormat="1" ht="12" customHeight="1">
      <x:c r="A222" s="9" t="n"/>
      <x:c r="B222" s="9" t="n"/>
      <x:c r="C222" s="9" t="n"/>
      <x:c r="D222" s="9" t="n"/>
      <x:c r="E222" s="82" t="n"/>
      <x:c r="F222" s="9" t="n"/>
      <x:c r="G222" s="9" t="n"/>
      <x:c r="H222" s="9" t="n"/>
      <x:c r="I222" s="9" t="n"/>
      <x:c r="J222" s="9" t="n"/>
      <x:c r="K222" s="9" t="n"/>
      <x:c r="L222" s="9" t="n"/>
      <x:c r="M222" s="9" t="n"/>
      <x:c r="N222" s="9" t="n"/>
      <x:c r="O222" s="9" t="n"/>
      <x:c r="P222" s="9" t="n"/>
      <x:c r="Q222" s="9" t="n"/>
      <x:c r="R222" s="9" t="n"/>
      <x:c r="S222" s="9" t="n"/>
      <x:c r="T222" s="9" t="n"/>
      <x:c r="U222" s="9" t="n"/>
      <x:c r="V222" s="9" t="n"/>
      <x:c r="W222" s="9" t="n"/>
      <x:c r="X222" s="9" t="n"/>
      <x:c r="Y222" s="9" t="n"/>
      <x:c r="Z222" s="9" t="n"/>
    </x:row>
    <x:row r="223" s="71" customFormat="1" ht="12" customHeight="1">
      <x:c r="A223" s="9" t="n"/>
      <x:c r="B223" s="9" t="n"/>
      <x:c r="C223" s="9" t="n"/>
      <x:c r="D223" s="9" t="n"/>
      <x:c r="E223" s="82" t="n"/>
      <x:c r="F223" s="9" t="n"/>
      <x:c r="G223" s="9" t="n"/>
      <x:c r="H223" s="9" t="n"/>
      <x:c r="I223" s="9" t="n"/>
      <x:c r="J223" s="9" t="n"/>
      <x:c r="K223" s="9" t="n"/>
      <x:c r="L223" s="9" t="n"/>
      <x:c r="M223" s="9" t="n"/>
      <x:c r="N223" s="9" t="n"/>
      <x:c r="O223" s="9" t="n"/>
      <x:c r="P223" s="9" t="n"/>
      <x:c r="Q223" s="9" t="n"/>
      <x:c r="R223" s="9" t="n"/>
      <x:c r="S223" s="9" t="n"/>
      <x:c r="T223" s="9" t="n"/>
      <x:c r="U223" s="9" t="n"/>
      <x:c r="V223" s="9" t="n"/>
      <x:c r="W223" s="9" t="n"/>
      <x:c r="X223" s="9" t="n"/>
      <x:c r="Y223" s="9" t="n"/>
      <x:c r="Z223" s="9" t="n"/>
    </x:row>
    <x:row r="224" s="71" customFormat="1" ht="12" customHeight="1">
      <x:c r="A224" s="9" t="n"/>
      <x:c r="B224" s="9" t="n"/>
      <x:c r="C224" s="9" t="n"/>
      <x:c r="D224" s="9" t="n"/>
      <x:c r="E224" s="82" t="n"/>
      <x:c r="F224" s="9" t="n"/>
      <x:c r="G224" s="9" t="n"/>
      <x:c r="H224" s="9" t="n"/>
      <x:c r="I224" s="9" t="n"/>
      <x:c r="J224" s="9" t="n"/>
      <x:c r="K224" s="9" t="n"/>
      <x:c r="L224" s="9" t="n"/>
      <x:c r="M224" s="9" t="n"/>
      <x:c r="N224" s="9" t="n"/>
      <x:c r="O224" s="9" t="n"/>
      <x:c r="P224" s="9" t="n"/>
      <x:c r="Q224" s="9" t="n"/>
      <x:c r="R224" s="9" t="n"/>
      <x:c r="S224" s="9" t="n"/>
      <x:c r="T224" s="9" t="n"/>
      <x:c r="U224" s="9" t="n"/>
      <x:c r="V224" s="9" t="n"/>
      <x:c r="W224" s="9" t="n"/>
      <x:c r="X224" s="9" t="n"/>
      <x:c r="Y224" s="9" t="n"/>
      <x:c r="Z224" s="9" t="n"/>
    </x:row>
    <x:row r="225" s="71" customFormat="1" ht="12" customHeight="1">
      <x:c r="A225" s="9" t="n"/>
      <x:c r="B225" s="9" t="n"/>
      <x:c r="C225" s="9" t="n"/>
      <x:c r="D225" s="9" t="n"/>
      <x:c r="E225" s="82" t="n"/>
      <x:c r="F225" s="9" t="n"/>
      <x:c r="G225" s="9" t="n"/>
      <x:c r="H225" s="9" t="n"/>
      <x:c r="I225" s="9" t="n"/>
      <x:c r="J225" s="9" t="n"/>
      <x:c r="K225" s="9" t="n"/>
      <x:c r="L225" s="9" t="n"/>
      <x:c r="M225" s="9" t="n"/>
      <x:c r="N225" s="9" t="n"/>
      <x:c r="O225" s="9" t="n"/>
      <x:c r="P225" s="9" t="n"/>
      <x:c r="Q225" s="9" t="n"/>
      <x:c r="R225" s="9" t="n"/>
      <x:c r="S225" s="9" t="n"/>
      <x:c r="T225" s="9" t="n"/>
      <x:c r="U225" s="9" t="n"/>
      <x:c r="V225" s="9" t="n"/>
      <x:c r="W225" s="9" t="n"/>
      <x:c r="X225" s="9" t="n"/>
      <x:c r="Y225" s="9" t="n"/>
      <x:c r="Z225" s="9" t="n"/>
    </x:row>
    <x:row r="226" s="71" customFormat="1" ht="12" customHeight="1">
      <x:c r="A226" s="9" t="n"/>
      <x:c r="B226" s="9" t="n"/>
      <x:c r="C226" s="9" t="n"/>
      <x:c r="D226" s="9" t="n"/>
      <x:c r="E226" s="82" t="n"/>
      <x:c r="F226" s="9" t="n"/>
      <x:c r="G226" s="9" t="n"/>
      <x:c r="H226" s="9" t="n"/>
      <x:c r="I226" s="9" t="n"/>
      <x:c r="J226" s="9" t="n"/>
      <x:c r="K226" s="9" t="n"/>
      <x:c r="L226" s="9" t="n"/>
      <x:c r="M226" s="9" t="n"/>
      <x:c r="N226" s="9" t="n"/>
      <x:c r="O226" s="9" t="n"/>
      <x:c r="P226" s="9" t="n"/>
      <x:c r="Q226" s="9" t="n"/>
      <x:c r="R226" s="9" t="n"/>
      <x:c r="S226" s="9" t="n"/>
      <x:c r="T226" s="9" t="n"/>
      <x:c r="U226" s="9" t="n"/>
      <x:c r="V226" s="9" t="n"/>
      <x:c r="W226" s="9" t="n"/>
      <x:c r="X226" s="9" t="n"/>
      <x:c r="Y226" s="9" t="n"/>
      <x:c r="Z226" s="9" t="n"/>
    </x:row>
    <x:row r="227" s="71" customFormat="1" ht="12" customHeight="1">
      <x:c r="A227" s="9" t="n"/>
      <x:c r="B227" s="9" t="n"/>
      <x:c r="C227" s="9" t="n"/>
      <x:c r="D227" s="9" t="n"/>
      <x:c r="E227" s="82" t="n"/>
      <x:c r="F227" s="9" t="n"/>
      <x:c r="G227" s="9" t="n"/>
      <x:c r="H227" s="9" t="n"/>
      <x:c r="I227" s="9" t="n"/>
      <x:c r="J227" s="9" t="n"/>
      <x:c r="K227" s="9" t="n"/>
      <x:c r="L227" s="9" t="n"/>
      <x:c r="M227" s="9" t="n"/>
      <x:c r="N227" s="9" t="n"/>
      <x:c r="O227" s="9" t="n"/>
      <x:c r="P227" s="9" t="n"/>
      <x:c r="Q227" s="9" t="n"/>
      <x:c r="R227" s="9" t="n"/>
      <x:c r="S227" s="9" t="n"/>
      <x:c r="T227" s="9" t="n"/>
      <x:c r="U227" s="9" t="n"/>
      <x:c r="V227" s="9" t="n"/>
      <x:c r="W227" s="9" t="n"/>
      <x:c r="X227" s="9" t="n"/>
      <x:c r="Y227" s="9" t="n"/>
      <x:c r="Z227" s="9" t="n"/>
    </x:row>
    <x:row r="228" s="71" customFormat="1" ht="12" customHeight="1">
      <x:c r="A228" s="9" t="n"/>
      <x:c r="B228" s="9" t="n"/>
      <x:c r="C228" s="9" t="n"/>
      <x:c r="D228" s="9" t="n"/>
      <x:c r="E228" s="82" t="n"/>
      <x:c r="F228" s="9" t="n"/>
      <x:c r="G228" s="9" t="n"/>
      <x:c r="H228" s="9" t="n"/>
      <x:c r="I228" s="9" t="n"/>
      <x:c r="J228" s="9" t="n"/>
      <x:c r="K228" s="9" t="n"/>
      <x:c r="L228" s="9" t="n"/>
      <x:c r="M228" s="9" t="n"/>
      <x:c r="N228" s="9" t="n"/>
      <x:c r="O228" s="9" t="n"/>
      <x:c r="P228" s="9" t="n"/>
      <x:c r="Q228" s="9" t="n"/>
      <x:c r="R228" s="9" t="n"/>
      <x:c r="S228" s="9" t="n"/>
      <x:c r="T228" s="9" t="n"/>
      <x:c r="U228" s="9" t="n"/>
      <x:c r="V228" s="9" t="n"/>
      <x:c r="W228" s="9" t="n"/>
      <x:c r="X228" s="9" t="n"/>
      <x:c r="Y228" s="9" t="n"/>
      <x:c r="Z228" s="9" t="n"/>
    </x:row>
    <x:row r="229" s="71" customFormat="1" ht="12" customHeight="1">
      <x:c r="A229" s="9" t="n"/>
      <x:c r="B229" s="9" t="n"/>
      <x:c r="C229" s="9" t="n"/>
      <x:c r="D229" s="9" t="n"/>
      <x:c r="E229" s="82" t="n"/>
      <x:c r="F229" s="9" t="n"/>
      <x:c r="G229" s="9" t="n"/>
      <x:c r="H229" s="9" t="n"/>
      <x:c r="I229" s="9" t="n"/>
      <x:c r="J229" s="9" t="n"/>
      <x:c r="K229" s="9" t="n"/>
      <x:c r="L229" s="9" t="n"/>
      <x:c r="M229" s="9" t="n"/>
      <x:c r="N229" s="9" t="n"/>
      <x:c r="O229" s="9" t="n"/>
      <x:c r="P229" s="9" t="n"/>
      <x:c r="Q229" s="9" t="n"/>
      <x:c r="R229" s="9" t="n"/>
      <x:c r="S229" s="9" t="n"/>
      <x:c r="T229" s="9" t="n"/>
      <x:c r="U229" s="9" t="n"/>
      <x:c r="V229" s="9" t="n"/>
      <x:c r="W229" s="9" t="n"/>
      <x:c r="X229" s="9" t="n"/>
      <x:c r="Y229" s="9" t="n"/>
      <x:c r="Z229" s="9" t="n"/>
    </x:row>
    <x:row r="230" s="71" customFormat="1" ht="12" customHeight="1">
      <x:c r="A230" s="9" t="n"/>
      <x:c r="B230" s="9" t="n"/>
      <x:c r="C230" s="9" t="n"/>
      <x:c r="D230" s="9" t="n"/>
      <x:c r="E230" s="82" t="n"/>
      <x:c r="F230" s="9" t="n"/>
      <x:c r="G230" s="9" t="n"/>
      <x:c r="H230" s="9" t="n"/>
      <x:c r="I230" s="9" t="n"/>
      <x:c r="J230" s="9" t="n"/>
      <x:c r="K230" s="9" t="n"/>
      <x:c r="L230" s="9" t="n"/>
      <x:c r="M230" s="9" t="n"/>
      <x:c r="N230" s="9" t="n"/>
      <x:c r="O230" s="9" t="n"/>
      <x:c r="P230" s="9" t="n"/>
      <x:c r="Q230" s="9" t="n"/>
      <x:c r="R230" s="9" t="n"/>
      <x:c r="S230" s="9" t="n"/>
      <x:c r="T230" s="9" t="n"/>
      <x:c r="U230" s="9" t="n"/>
      <x:c r="V230" s="9" t="n"/>
      <x:c r="W230" s="9" t="n"/>
      <x:c r="X230" s="9" t="n"/>
      <x:c r="Y230" s="9" t="n"/>
      <x:c r="Z230" s="9" t="n"/>
    </x:row>
    <x:row r="231" s="71" customFormat="1" ht="12" customHeight="1">
      <x:c r="A231" s="9" t="n"/>
      <x:c r="B231" s="9" t="n"/>
      <x:c r="C231" s="9" t="n"/>
      <x:c r="D231" s="9" t="n"/>
      <x:c r="E231" s="82" t="n"/>
      <x:c r="F231" s="9" t="n"/>
      <x:c r="G231" s="9" t="n"/>
      <x:c r="H231" s="9" t="n"/>
      <x:c r="I231" s="9" t="n"/>
      <x:c r="J231" s="9" t="n"/>
      <x:c r="K231" s="9" t="n"/>
      <x:c r="L231" s="9" t="n"/>
      <x:c r="M231" s="9" t="n"/>
      <x:c r="N231" s="9" t="n"/>
      <x:c r="O231" s="9" t="n"/>
      <x:c r="P231" s="9" t="n"/>
      <x:c r="Q231" s="9" t="n"/>
      <x:c r="R231" s="9" t="n"/>
      <x:c r="S231" s="9" t="n"/>
      <x:c r="T231" s="9" t="n"/>
      <x:c r="U231" s="9" t="n"/>
      <x:c r="V231" s="9" t="n"/>
      <x:c r="W231" s="9" t="n"/>
      <x:c r="X231" s="9" t="n"/>
      <x:c r="Y231" s="9" t="n"/>
      <x:c r="Z231" s="9" t="n"/>
    </x:row>
    <x:row r="232" s="71" customFormat="1" ht="12" customHeight="1">
      <x:c r="A232" s="9" t="n"/>
      <x:c r="B232" s="9" t="n"/>
      <x:c r="C232" s="9" t="n"/>
      <x:c r="D232" s="9" t="n"/>
      <x:c r="E232" s="82" t="n"/>
      <x:c r="F232" s="9" t="n"/>
      <x:c r="G232" s="9" t="n"/>
      <x:c r="H232" s="9" t="n"/>
      <x:c r="I232" s="9" t="n"/>
      <x:c r="J232" s="9" t="n"/>
      <x:c r="K232" s="9" t="n"/>
      <x:c r="L232" s="9" t="n"/>
      <x:c r="M232" s="9" t="n"/>
      <x:c r="N232" s="9" t="n"/>
      <x:c r="O232" s="9" t="n"/>
      <x:c r="P232" s="9" t="n"/>
      <x:c r="Q232" s="9" t="n"/>
      <x:c r="R232" s="9" t="n"/>
      <x:c r="S232" s="9" t="n"/>
      <x:c r="T232" s="9" t="n"/>
      <x:c r="U232" s="9" t="n"/>
      <x:c r="V232" s="9" t="n"/>
      <x:c r="W232" s="9" t="n"/>
      <x:c r="X232" s="9" t="n"/>
      <x:c r="Y232" s="9" t="n"/>
      <x:c r="Z232" s="9" t="n"/>
    </x:row>
    <x:row r="233" s="71" customFormat="1" ht="12" customHeight="1">
      <x:c r="A233" s="9" t="n"/>
      <x:c r="B233" s="9" t="n"/>
      <x:c r="C233" s="9" t="n"/>
      <x:c r="D233" s="9" t="n"/>
      <x:c r="E233" s="82" t="n"/>
      <x:c r="F233" s="9" t="n"/>
      <x:c r="G233" s="9" t="n"/>
      <x:c r="H233" s="9" t="n"/>
      <x:c r="I233" s="9" t="n"/>
      <x:c r="J233" s="9" t="n"/>
      <x:c r="K233" s="9" t="n"/>
      <x:c r="L233" s="9" t="n"/>
      <x:c r="M233" s="9" t="n"/>
      <x:c r="N233" s="9" t="n"/>
      <x:c r="O233" s="9" t="n"/>
      <x:c r="P233" s="9" t="n"/>
      <x:c r="Q233" s="9" t="n"/>
      <x:c r="R233" s="9" t="n"/>
      <x:c r="S233" s="9" t="n"/>
      <x:c r="T233" s="9" t="n"/>
      <x:c r="U233" s="9" t="n"/>
      <x:c r="V233" s="9" t="n"/>
      <x:c r="W233" s="9" t="n"/>
      <x:c r="X233" s="9" t="n"/>
      <x:c r="Y233" s="9" t="n"/>
      <x:c r="Z233" s="9" t="n"/>
    </x:row>
    <x:row r="234" s="71" customFormat="1" ht="12" customHeight="1">
      <x:c r="A234" s="9" t="n"/>
      <x:c r="B234" s="9" t="n"/>
      <x:c r="C234" s="9" t="n"/>
      <x:c r="D234" s="9" t="n"/>
      <x:c r="E234" s="82" t="n"/>
      <x:c r="F234" s="9" t="n"/>
      <x:c r="G234" s="9" t="n"/>
      <x:c r="H234" s="9" t="n"/>
      <x:c r="I234" s="9" t="n"/>
      <x:c r="J234" s="9" t="n"/>
      <x:c r="K234" s="9" t="n"/>
      <x:c r="L234" s="9" t="n"/>
      <x:c r="M234" s="9" t="n"/>
      <x:c r="N234" s="9" t="n"/>
      <x:c r="O234" s="9" t="n"/>
      <x:c r="P234" s="9" t="n"/>
      <x:c r="Q234" s="9" t="n"/>
      <x:c r="R234" s="9" t="n"/>
      <x:c r="S234" s="9" t="n"/>
      <x:c r="T234" s="9" t="n"/>
      <x:c r="U234" s="9" t="n"/>
      <x:c r="V234" s="9" t="n"/>
      <x:c r="W234" s="9" t="n"/>
      <x:c r="X234" s="9" t="n"/>
      <x:c r="Y234" s="9" t="n"/>
      <x:c r="Z234" s="9" t="n"/>
    </x:row>
    <x:row r="235" s="71" customFormat="1" ht="12" customHeight="1">
      <x:c r="A235" s="9" t="n"/>
      <x:c r="B235" s="9" t="n"/>
      <x:c r="C235" s="9" t="n"/>
      <x:c r="D235" s="9" t="n"/>
      <x:c r="E235" s="82" t="n"/>
      <x:c r="F235" s="9" t="n"/>
      <x:c r="G235" s="9" t="n"/>
      <x:c r="H235" s="9" t="n"/>
      <x:c r="I235" s="9" t="n"/>
      <x:c r="J235" s="9" t="n"/>
      <x:c r="K235" s="9" t="n"/>
      <x:c r="L235" s="9" t="n"/>
      <x:c r="M235" s="9" t="n"/>
      <x:c r="N235" s="9" t="n"/>
      <x:c r="O235" s="9" t="n"/>
      <x:c r="P235" s="9" t="n"/>
      <x:c r="Q235" s="9" t="n"/>
      <x:c r="R235" s="9" t="n"/>
      <x:c r="S235" s="9" t="n"/>
      <x:c r="T235" s="9" t="n"/>
      <x:c r="U235" s="9" t="n"/>
      <x:c r="V235" s="9" t="n"/>
      <x:c r="W235" s="9" t="n"/>
      <x:c r="X235" s="9" t="n"/>
      <x:c r="Y235" s="9" t="n"/>
      <x:c r="Z235" s="9" t="n"/>
    </x:row>
    <x:row r="236" s="71" customFormat="1" ht="12" customHeight="1">
      <x:c r="A236" s="9" t="n"/>
      <x:c r="B236" s="9" t="n"/>
      <x:c r="C236" s="9" t="n"/>
      <x:c r="D236" s="9" t="n"/>
      <x:c r="E236" s="82" t="n"/>
      <x:c r="F236" s="9" t="n"/>
      <x:c r="G236" s="9" t="n"/>
      <x:c r="H236" s="9" t="n"/>
      <x:c r="I236" s="9" t="n"/>
      <x:c r="J236" s="9" t="n"/>
      <x:c r="K236" s="9" t="n"/>
      <x:c r="L236" s="9" t="n"/>
      <x:c r="M236" s="9" t="n"/>
      <x:c r="N236" s="9" t="n"/>
      <x:c r="O236" s="9" t="n"/>
      <x:c r="P236" s="9" t="n"/>
      <x:c r="Q236" s="9" t="n"/>
      <x:c r="R236" s="9" t="n"/>
      <x:c r="S236" s="9" t="n"/>
      <x:c r="T236" s="9" t="n"/>
      <x:c r="U236" s="9" t="n"/>
      <x:c r="V236" s="9" t="n"/>
      <x:c r="W236" s="9" t="n"/>
      <x:c r="X236" s="9" t="n"/>
      <x:c r="Y236" s="9" t="n"/>
      <x:c r="Z236" s="9" t="n"/>
    </x:row>
    <x:row r="237" s="71" customFormat="1" ht="12" customHeight="1">
      <x:c r="A237" s="9" t="n"/>
      <x:c r="B237" s="9" t="n"/>
      <x:c r="C237" s="9" t="n"/>
      <x:c r="D237" s="9" t="n"/>
      <x:c r="E237" s="82" t="n"/>
      <x:c r="F237" s="9" t="n"/>
      <x:c r="G237" s="9" t="n"/>
      <x:c r="H237" s="9" t="n"/>
      <x:c r="I237" s="9" t="n"/>
      <x:c r="J237" s="9" t="n"/>
      <x:c r="K237" s="9" t="n"/>
      <x:c r="L237" s="9" t="n"/>
      <x:c r="M237" s="9" t="n"/>
      <x:c r="N237" s="9" t="n"/>
      <x:c r="O237" s="9" t="n"/>
      <x:c r="P237" s="9" t="n"/>
      <x:c r="Q237" s="9" t="n"/>
      <x:c r="R237" s="9" t="n"/>
      <x:c r="S237" s="9" t="n"/>
      <x:c r="T237" s="9" t="n"/>
      <x:c r="U237" s="9" t="n"/>
      <x:c r="V237" s="9" t="n"/>
      <x:c r="W237" s="9" t="n"/>
      <x:c r="X237" s="9" t="n"/>
      <x:c r="Y237" s="9" t="n"/>
      <x:c r="Z237" s="9" t="n"/>
    </x:row>
    <x:row r="238" s="71" customFormat="1" ht="12" customHeight="1">
      <x:c r="A238" s="9" t="n"/>
      <x:c r="B238" s="9" t="n"/>
      <x:c r="C238" s="9" t="n"/>
      <x:c r="D238" s="9" t="n"/>
      <x:c r="E238" s="82" t="n"/>
      <x:c r="F238" s="9" t="n"/>
      <x:c r="G238" s="9" t="n"/>
      <x:c r="H238" s="9" t="n"/>
      <x:c r="I238" s="9" t="n"/>
      <x:c r="J238" s="9" t="n"/>
      <x:c r="K238" s="9" t="n"/>
      <x:c r="L238" s="9" t="n"/>
      <x:c r="M238" s="9" t="n"/>
      <x:c r="N238" s="9" t="n"/>
      <x:c r="O238" s="9" t="n"/>
      <x:c r="P238" s="9" t="n"/>
      <x:c r="Q238" s="9" t="n"/>
      <x:c r="R238" s="9" t="n"/>
      <x:c r="S238" s="9" t="n"/>
      <x:c r="T238" s="9" t="n"/>
      <x:c r="U238" s="9" t="n"/>
      <x:c r="V238" s="9" t="n"/>
      <x:c r="W238" s="9" t="n"/>
      <x:c r="X238" s="9" t="n"/>
      <x:c r="Y238" s="9" t="n"/>
      <x:c r="Z238" s="9" t="n"/>
    </x:row>
    <x:row r="239" s="71" customFormat="1" ht="12" customHeight="1">
      <x:c r="A239" s="9" t="n"/>
      <x:c r="B239" s="9" t="n"/>
      <x:c r="C239" s="9" t="n"/>
      <x:c r="D239" s="9" t="n"/>
      <x:c r="E239" s="82" t="n"/>
      <x:c r="F239" s="9" t="n"/>
      <x:c r="G239" s="9" t="n"/>
      <x:c r="H239" s="9" t="n"/>
      <x:c r="I239" s="9" t="n"/>
      <x:c r="J239" s="9" t="n"/>
      <x:c r="K239" s="9" t="n"/>
      <x:c r="L239" s="9" t="n"/>
      <x:c r="M239" s="9" t="n"/>
      <x:c r="N239" s="9" t="n"/>
      <x:c r="O239" s="9" t="n"/>
      <x:c r="P239" s="9" t="n"/>
      <x:c r="Q239" s="9" t="n"/>
      <x:c r="R239" s="9" t="n"/>
      <x:c r="S239" s="9" t="n"/>
      <x:c r="T239" s="9" t="n"/>
      <x:c r="U239" s="9" t="n"/>
      <x:c r="V239" s="9" t="n"/>
      <x:c r="W239" s="9" t="n"/>
      <x:c r="X239" s="9" t="n"/>
      <x:c r="Y239" s="9" t="n"/>
      <x:c r="Z239" s="9" t="n"/>
    </x:row>
    <x:row r="240" s="71" customFormat="1" ht="12" customHeight="1">
      <x:c r="A240" s="9" t="n"/>
      <x:c r="B240" s="9" t="n"/>
      <x:c r="C240" s="9" t="n"/>
      <x:c r="D240" s="9" t="n"/>
      <x:c r="E240" s="82" t="n"/>
      <x:c r="F240" s="9" t="n"/>
      <x:c r="G240" s="9" t="n"/>
      <x:c r="H240" s="9" t="n"/>
      <x:c r="I240" s="9" t="n"/>
      <x:c r="J240" s="9" t="n"/>
      <x:c r="K240" s="9" t="n"/>
      <x:c r="L240" s="9" t="n"/>
      <x:c r="M240" s="9" t="n"/>
      <x:c r="N240" s="9" t="n"/>
      <x:c r="O240" s="9" t="n"/>
      <x:c r="P240" s="9" t="n"/>
      <x:c r="Q240" s="9" t="n"/>
      <x:c r="R240" s="9" t="n"/>
      <x:c r="S240" s="9" t="n"/>
      <x:c r="T240" s="9" t="n"/>
      <x:c r="U240" s="9" t="n"/>
      <x:c r="V240" s="9" t="n"/>
      <x:c r="W240" s="9" t="n"/>
      <x:c r="X240" s="9" t="n"/>
      <x:c r="Y240" s="9" t="n"/>
      <x:c r="Z240" s="9" t="n"/>
    </x:row>
    <x:row r="241" s="71" customFormat="1" ht="12" customHeight="1">
      <x:c r="A241" s="9" t="n"/>
      <x:c r="B241" s="9" t="n"/>
      <x:c r="C241" s="9" t="n"/>
      <x:c r="D241" s="9" t="n"/>
      <x:c r="E241" s="82" t="n"/>
      <x:c r="F241" s="9" t="n"/>
      <x:c r="G241" s="9" t="n"/>
      <x:c r="H241" s="9" t="n"/>
      <x:c r="I241" s="9" t="n"/>
      <x:c r="J241" s="9" t="n"/>
      <x:c r="K241" s="9" t="n"/>
      <x:c r="L241" s="9" t="n"/>
      <x:c r="M241" s="9" t="n"/>
      <x:c r="N241" s="9" t="n"/>
      <x:c r="O241" s="9" t="n"/>
      <x:c r="P241" s="9" t="n"/>
      <x:c r="Q241" s="9" t="n"/>
      <x:c r="R241" s="9" t="n"/>
      <x:c r="S241" s="9" t="n"/>
      <x:c r="T241" s="9" t="n"/>
      <x:c r="U241" s="9" t="n"/>
      <x:c r="V241" s="9" t="n"/>
      <x:c r="W241" s="9" t="n"/>
      <x:c r="X241" s="9" t="n"/>
      <x:c r="Y241" s="9" t="n"/>
      <x:c r="Z241" s="9" t="n"/>
    </x:row>
    <x:row r="242" s="71" customFormat="1" ht="12" customHeight="1">
      <x:c r="A242" s="9" t="n"/>
      <x:c r="B242" s="9" t="n"/>
      <x:c r="C242" s="9" t="n"/>
      <x:c r="D242" s="9" t="n"/>
      <x:c r="E242" s="82" t="n"/>
      <x:c r="F242" s="9" t="n"/>
      <x:c r="G242" s="9" t="n"/>
      <x:c r="H242" s="9" t="n"/>
      <x:c r="I242" s="9" t="n"/>
      <x:c r="J242" s="9" t="n"/>
      <x:c r="K242" s="9" t="n"/>
      <x:c r="L242" s="9" t="n"/>
      <x:c r="M242" s="9" t="n"/>
      <x:c r="N242" s="9" t="n"/>
      <x:c r="O242" s="9" t="n"/>
      <x:c r="P242" s="9" t="n"/>
      <x:c r="Q242" s="9" t="n"/>
      <x:c r="R242" s="9" t="n"/>
      <x:c r="S242" s="9" t="n"/>
      <x:c r="T242" s="9" t="n"/>
      <x:c r="U242" s="9" t="n"/>
      <x:c r="V242" s="9" t="n"/>
      <x:c r="W242" s="9" t="n"/>
      <x:c r="X242" s="9" t="n"/>
      <x:c r="Y242" s="9" t="n"/>
      <x:c r="Z242" s="9" t="n"/>
    </x:row>
    <x:row r="243" s="71" customFormat="1" ht="12" customHeight="1">
      <x:c r="A243" s="9" t="n"/>
      <x:c r="B243" s="9" t="n"/>
      <x:c r="C243" s="9" t="n"/>
      <x:c r="D243" s="9" t="n"/>
      <x:c r="E243" s="82" t="n"/>
      <x:c r="F243" s="9" t="n"/>
      <x:c r="G243" s="9" t="n"/>
      <x:c r="H243" s="9" t="n"/>
      <x:c r="I243" s="9" t="n"/>
      <x:c r="J243" s="9" t="n"/>
      <x:c r="K243" s="9" t="n"/>
      <x:c r="L243" s="9" t="n"/>
      <x:c r="M243" s="9" t="n"/>
      <x:c r="N243" s="9" t="n"/>
      <x:c r="O243" s="9" t="n"/>
      <x:c r="P243" s="9" t="n"/>
      <x:c r="Q243" s="9" t="n"/>
      <x:c r="R243" s="9" t="n"/>
      <x:c r="S243" s="9" t="n"/>
      <x:c r="T243" s="9" t="n"/>
      <x:c r="U243" s="9" t="n"/>
      <x:c r="V243" s="9" t="n"/>
      <x:c r="W243" s="9" t="n"/>
      <x:c r="X243" s="9" t="n"/>
      <x:c r="Y243" s="9" t="n"/>
      <x:c r="Z243" s="9" t="n"/>
    </x:row>
    <x:row r="244" s="71" customFormat="1" ht="12" customHeight="1">
      <x:c r="A244" s="9" t="n"/>
      <x:c r="B244" s="9" t="n"/>
      <x:c r="C244" s="9" t="n"/>
      <x:c r="D244" s="9" t="n"/>
      <x:c r="E244" s="82" t="n"/>
      <x:c r="F244" s="9" t="n"/>
      <x:c r="G244" s="9" t="n"/>
      <x:c r="H244" s="9" t="n"/>
      <x:c r="I244" s="9" t="n"/>
      <x:c r="J244" s="9" t="n"/>
      <x:c r="K244" s="9" t="n"/>
      <x:c r="L244" s="9" t="n"/>
      <x:c r="M244" s="9" t="n"/>
      <x:c r="N244" s="9" t="n"/>
      <x:c r="O244" s="9" t="n"/>
      <x:c r="P244" s="9" t="n"/>
      <x:c r="Q244" s="9" t="n"/>
      <x:c r="R244" s="9" t="n"/>
      <x:c r="S244" s="9" t="n"/>
      <x:c r="T244" s="9" t="n"/>
      <x:c r="U244" s="9" t="n"/>
      <x:c r="V244" s="9" t="n"/>
      <x:c r="W244" s="9" t="n"/>
      <x:c r="X244" s="9" t="n"/>
      <x:c r="Y244" s="9" t="n"/>
      <x:c r="Z244" s="9" t="n"/>
    </x:row>
    <x:row r="245" s="71" customFormat="1" ht="12" customHeight="1">
      <x:c r="A245" s="9" t="n"/>
      <x:c r="B245" s="9" t="n"/>
      <x:c r="C245" s="9" t="n"/>
      <x:c r="D245" s="9" t="n"/>
      <x:c r="E245" s="82" t="n"/>
      <x:c r="F245" s="9" t="n"/>
      <x:c r="G245" s="9" t="n"/>
      <x:c r="H245" s="9" t="n"/>
      <x:c r="I245" s="9" t="n"/>
      <x:c r="J245" s="9" t="n"/>
      <x:c r="K245" s="9" t="n"/>
      <x:c r="L245" s="9" t="n"/>
      <x:c r="M245" s="9" t="n"/>
      <x:c r="N245" s="9" t="n"/>
      <x:c r="O245" s="9" t="n"/>
      <x:c r="P245" s="9" t="n"/>
      <x:c r="Q245" s="9" t="n"/>
      <x:c r="R245" s="9" t="n"/>
      <x:c r="S245" s="9" t="n"/>
      <x:c r="T245" s="9" t="n"/>
      <x:c r="U245" s="9" t="n"/>
      <x:c r="V245" s="9" t="n"/>
      <x:c r="W245" s="9" t="n"/>
      <x:c r="X245" s="9" t="n"/>
      <x:c r="Y245" s="9" t="n"/>
      <x:c r="Z245" s="9" t="n"/>
    </x:row>
    <x:row r="246" s="71" customFormat="1" ht="12" customHeight="1">
      <x:c r="A246" s="9" t="n"/>
      <x:c r="B246" s="9" t="n"/>
      <x:c r="C246" s="9" t="n"/>
      <x:c r="D246" s="9" t="n"/>
      <x:c r="E246" s="82" t="n"/>
      <x:c r="F246" s="9" t="n"/>
      <x:c r="G246" s="9" t="n"/>
      <x:c r="H246" s="9" t="n"/>
      <x:c r="I246" s="9" t="n"/>
      <x:c r="J246" s="9" t="n"/>
      <x:c r="K246" s="9" t="n"/>
      <x:c r="L246" s="9" t="n"/>
      <x:c r="M246" s="9" t="n"/>
      <x:c r="N246" s="9" t="n"/>
      <x:c r="O246" s="9" t="n"/>
      <x:c r="P246" s="9" t="n"/>
      <x:c r="Q246" s="9" t="n"/>
      <x:c r="R246" s="9" t="n"/>
      <x:c r="S246" s="9" t="n"/>
      <x:c r="T246" s="9" t="n"/>
      <x:c r="U246" s="9" t="n"/>
      <x:c r="V246" s="9" t="n"/>
      <x:c r="W246" s="9" t="n"/>
      <x:c r="X246" s="9" t="n"/>
      <x:c r="Y246" s="9" t="n"/>
      <x:c r="Z246" s="9" t="n"/>
    </x:row>
    <x:row r="247" s="71" customFormat="1" ht="12" customHeight="1">
      <x:c r="A247" s="9" t="n"/>
      <x:c r="B247" s="9" t="n"/>
      <x:c r="C247" s="9" t="n"/>
      <x:c r="D247" s="9" t="n"/>
      <x:c r="E247" s="82" t="n"/>
      <x:c r="F247" s="9" t="n"/>
      <x:c r="G247" s="9" t="n"/>
      <x:c r="H247" s="9" t="n"/>
      <x:c r="I247" s="9" t="n"/>
      <x:c r="J247" s="9" t="n"/>
      <x:c r="K247" s="9" t="n"/>
      <x:c r="L247" s="9" t="n"/>
      <x:c r="M247" s="9" t="n"/>
      <x:c r="N247" s="9" t="n"/>
      <x:c r="O247" s="9" t="n"/>
      <x:c r="P247" s="9" t="n"/>
      <x:c r="Q247" s="9" t="n"/>
      <x:c r="R247" s="9" t="n"/>
      <x:c r="S247" s="9" t="n"/>
      <x:c r="T247" s="9" t="n"/>
      <x:c r="U247" s="9" t="n"/>
      <x:c r="V247" s="9" t="n"/>
      <x:c r="W247" s="9" t="n"/>
      <x:c r="X247" s="9" t="n"/>
      <x:c r="Y247" s="9" t="n"/>
      <x:c r="Z247" s="9" t="n"/>
    </x:row>
    <x:row r="248" s="71" customFormat="1" ht="12" customHeight="1">
      <x:c r="A248" s="9" t="n"/>
      <x:c r="B248" s="9" t="n"/>
      <x:c r="C248" s="9" t="n"/>
      <x:c r="D248" s="9" t="n"/>
      <x:c r="E248" s="82" t="n"/>
      <x:c r="F248" s="9" t="n"/>
      <x:c r="G248" s="9" t="n"/>
      <x:c r="H248" s="9" t="n"/>
      <x:c r="I248" s="9" t="n"/>
      <x:c r="J248" s="9" t="n"/>
      <x:c r="K248" s="9" t="n"/>
      <x:c r="L248" s="9" t="n"/>
      <x:c r="M248" s="9" t="n"/>
      <x:c r="N248" s="9" t="n"/>
      <x:c r="O248" s="9" t="n"/>
      <x:c r="P248" s="9" t="n"/>
      <x:c r="Q248" s="9" t="n"/>
      <x:c r="R248" s="9" t="n"/>
      <x:c r="S248" s="9" t="n"/>
      <x:c r="T248" s="9" t="n"/>
      <x:c r="U248" s="9" t="n"/>
      <x:c r="V248" s="9" t="n"/>
      <x:c r="W248" s="9" t="n"/>
      <x:c r="X248" s="9" t="n"/>
      <x:c r="Y248" s="9" t="n"/>
      <x:c r="Z248" s="9" t="n"/>
    </x:row>
    <x:row r="249" s="71" customFormat="1" ht="15.75" customHeight="1"/>
    <x:row r="250" s="71" customFormat="1" ht="15.75" customHeight="1"/>
    <x:row r="251" s="71" customFormat="1" ht="15.75" customHeight="1"/>
    <x:row r="252" s="71" customFormat="1" ht="15.75" customHeight="1"/>
    <x:row r="253" s="71" customFormat="1" ht="15.75" customHeight="1"/>
    <x:row r="254" s="71" customFormat="1" ht="15.75" customHeight="1"/>
    <x:row r="255" s="71" customFormat="1" ht="15.75" customHeight="1"/>
    <x:row r="256" s="71" customFormat="1" ht="15.75" customHeight="1"/>
    <x:row r="257" s="71" customFormat="1" ht="15.75" customHeight="1"/>
    <x:row r="258" s="71" customFormat="1" ht="15.75" customHeight="1"/>
    <x:row r="259" s="71" customFormat="1" ht="15.75" customHeight="1"/>
    <x:row r="260" s="71" customFormat="1" ht="15.75" customHeight="1"/>
    <x:row r="261" s="71" customFormat="1" ht="15.75" customHeight="1"/>
    <x:row r="262" s="71" customFormat="1" ht="15.75" customHeight="1"/>
    <x:row r="263" s="71" customFormat="1" ht="15.75" customHeight="1"/>
    <x:row r="264" s="71" customFormat="1" ht="15.75" customHeight="1"/>
    <x:row r="265" s="71" customFormat="1" ht="15.75" customHeight="1"/>
    <x:row r="266" s="71" customFormat="1" ht="15.75" customHeight="1"/>
    <x:row r="267" s="71" customFormat="1" ht="15.75" customHeight="1"/>
    <x:row r="268" s="71" customFormat="1" ht="15.75" customHeight="1"/>
    <x:row r="269" s="71" customFormat="1" ht="15.75" customHeight="1"/>
    <x:row r="270" s="71" customFormat="1" ht="15.75" customHeight="1"/>
    <x:row r="271" s="71" customFormat="1" ht="15.75" customHeight="1"/>
    <x:row r="272" s="71" customFormat="1" ht="15.75" customHeight="1"/>
    <x:row r="273" s="71" customFormat="1" ht="15.75" customHeight="1"/>
    <x:row r="274" s="71" customFormat="1" ht="15.75" customHeight="1"/>
    <x:row r="275" s="71" customFormat="1" ht="15.75" customHeight="1"/>
    <x:row r="276" s="71" customFormat="1" ht="15.75" customHeight="1"/>
    <x:row r="277" s="71" customFormat="1" ht="15.75" customHeight="1"/>
    <x:row r="278" s="71" customFormat="1" ht="15.75" customHeight="1"/>
    <x:row r="279" s="71" customFormat="1" ht="15.75" customHeight="1"/>
    <x:row r="280" s="71" customFormat="1" ht="15.75" customHeight="1"/>
    <x:row r="281" s="71" customFormat="1" ht="15.75" customHeight="1"/>
    <x:row r="282" s="71" customFormat="1" ht="15.75" customHeight="1"/>
    <x:row r="283" s="71" customFormat="1" ht="15.75" customHeight="1"/>
    <x:row r="284" s="71" customFormat="1" ht="15.75" customHeight="1"/>
    <x:row r="285" s="71" customFormat="1" ht="15.75" customHeight="1"/>
    <x:row r="286" s="71" customFormat="1" ht="15.75" customHeight="1"/>
    <x:row r="287" s="71" customFormat="1" ht="15.75" customHeight="1"/>
    <x:row r="288" s="71" customFormat="1" ht="15.75" customHeight="1"/>
    <x:row r="289" s="71" customFormat="1" ht="15.75" customHeight="1"/>
    <x:row r="290" s="71" customFormat="1" ht="15.75" customHeight="1"/>
    <x:row r="291" s="71" customFormat="1" ht="15.75" customHeight="1"/>
    <x:row r="292" s="71" customFormat="1" ht="15.75" customHeight="1"/>
    <x:row r="293" s="71" customFormat="1" ht="15.75" customHeight="1"/>
    <x:row r="294" s="71" customFormat="1" ht="15.75" customHeight="1"/>
    <x:row r="295" s="71" customFormat="1" ht="15.75" customHeight="1"/>
    <x:row r="296" s="71" customFormat="1" ht="15.75" customHeight="1"/>
    <x:row r="297" s="71" customFormat="1" ht="15.75" customHeight="1"/>
    <x:row r="298" s="71" customFormat="1" ht="15.75" customHeight="1"/>
    <x:row r="299" s="71" customFormat="1" ht="15.75" customHeight="1"/>
    <x:row r="300" s="71" customFormat="1" ht="15.75" customHeight="1"/>
    <x:row r="301" s="71" customFormat="1" ht="15.75" customHeight="1"/>
    <x:row r="302" s="71" customFormat="1" ht="15.75" customHeight="1"/>
    <x:row r="303" s="71" customFormat="1" ht="15.75" customHeight="1"/>
    <x:row r="304" s="71" customFormat="1" ht="15.75" customHeight="1"/>
    <x:row r="305" s="71" customFormat="1" ht="15.75" customHeight="1"/>
    <x:row r="306" s="71" customFormat="1" ht="15.75" customHeight="1"/>
    <x:row r="307" s="71" customFormat="1" ht="15.75" customHeight="1"/>
    <x:row r="308" s="71" customFormat="1" ht="15.75" customHeight="1"/>
    <x:row r="309" s="71" customFormat="1" ht="15.75" customHeight="1"/>
    <x:row r="310" s="71" customFormat="1" ht="15.75" customHeight="1"/>
    <x:row r="311" s="71" customFormat="1" ht="15.75" customHeight="1"/>
    <x:row r="312" s="71" customFormat="1" ht="15.75" customHeight="1"/>
    <x:row r="313" s="71" customFormat="1" ht="15.75" customHeight="1"/>
    <x:row r="314" s="71" customFormat="1" ht="15.75" customHeight="1"/>
    <x:row r="315" s="71" customFormat="1" ht="15.75" customHeight="1"/>
    <x:row r="316" s="71" customFormat="1" ht="15.75" customHeight="1"/>
    <x:row r="317" s="71" customFormat="1" ht="15.75" customHeight="1"/>
    <x:row r="318" s="71" customFormat="1" ht="15.75" customHeight="1"/>
    <x:row r="319" s="71" customFormat="1" ht="15.75" customHeight="1"/>
    <x:row r="320" s="71" customFormat="1" ht="15.75" customHeight="1"/>
    <x:row r="321" s="71" customFormat="1" ht="15.75" customHeight="1"/>
    <x:row r="322" s="71" customFormat="1" ht="15.75" customHeight="1"/>
    <x:row r="323" s="71" customFormat="1" ht="15.75" customHeight="1"/>
    <x:row r="324" s="71" customFormat="1" ht="15.75" customHeight="1"/>
    <x:row r="325" s="71" customFormat="1" ht="15.75" customHeight="1"/>
    <x:row r="326" s="71" customFormat="1" ht="15.75" customHeight="1"/>
    <x:row r="327" s="71" customFormat="1" ht="15.75" customHeight="1"/>
    <x:row r="328" s="71" customFormat="1" ht="15.75" customHeight="1"/>
    <x:row r="329" s="71" customFormat="1" ht="15.75" customHeight="1"/>
    <x:row r="330" s="71" customFormat="1" ht="15.75" customHeight="1"/>
    <x:row r="331" s="71" customFormat="1" ht="15.75" customHeight="1"/>
    <x:row r="332" s="71" customFormat="1" ht="15.75" customHeight="1"/>
    <x:row r="333" s="71" customFormat="1" ht="15.75" customHeight="1"/>
    <x:row r="334" s="71" customFormat="1" ht="15.75" customHeight="1"/>
    <x:row r="335" s="71" customFormat="1" ht="15.75" customHeight="1"/>
    <x:row r="336" s="71" customFormat="1" ht="15.75" customHeight="1"/>
    <x:row r="337" s="71" customFormat="1" ht="15.75" customHeight="1"/>
    <x:row r="338" s="71" customFormat="1" ht="15.75" customHeight="1"/>
    <x:row r="339" s="71" customFormat="1" ht="15.75" customHeight="1"/>
    <x:row r="340" s="71" customFormat="1" ht="15.75" customHeight="1"/>
    <x:row r="341" s="71" customFormat="1" ht="15.75" customHeight="1"/>
    <x:row r="342" s="71" customFormat="1" ht="15.75" customHeight="1"/>
    <x:row r="343" s="71" customFormat="1" ht="15.75" customHeight="1"/>
    <x:row r="344" s="71" customFormat="1" ht="15.75" customHeight="1"/>
    <x:row r="345" s="71" customFormat="1" ht="15.75" customHeight="1"/>
    <x:row r="346" s="71" customFormat="1" ht="15.75" customHeight="1"/>
    <x:row r="347" s="71" customFormat="1" ht="15.75" customHeight="1"/>
    <x:row r="348" s="71" customFormat="1" ht="15.75" customHeight="1"/>
    <x:row r="349" s="71" customFormat="1" ht="15.75" customHeight="1"/>
    <x:row r="350" s="71" customFormat="1" ht="15.75" customHeight="1"/>
    <x:row r="351" s="71" customFormat="1" ht="15.75" customHeight="1"/>
    <x:row r="352" s="71" customFormat="1" ht="15.75" customHeight="1"/>
    <x:row r="353" s="71" customFormat="1" ht="15.75" customHeight="1"/>
    <x:row r="354" s="71" customFormat="1" ht="15.75" customHeight="1"/>
    <x:row r="355" s="71" customFormat="1" ht="15.75" customHeight="1"/>
    <x:row r="356" s="71" customFormat="1" ht="15.75" customHeight="1"/>
    <x:row r="357" s="71" customFormat="1" ht="15.75" customHeight="1"/>
    <x:row r="358" s="71" customFormat="1" ht="15.75" customHeight="1"/>
    <x:row r="359" s="71" customFormat="1" ht="15.75" customHeight="1"/>
    <x:row r="360" s="71" customFormat="1" ht="15.75" customHeight="1"/>
    <x:row r="361" s="71" customFormat="1" ht="15.75" customHeight="1"/>
    <x:row r="362" s="71" customFormat="1" ht="15.75" customHeight="1"/>
    <x:row r="363" s="71" customFormat="1" ht="15.75" customHeight="1"/>
    <x:row r="364" s="71" customFormat="1" ht="15.75" customHeight="1"/>
    <x:row r="365" s="71" customFormat="1" ht="15.75" customHeight="1"/>
    <x:row r="366" s="71" customFormat="1" ht="15.75" customHeight="1"/>
    <x:row r="367" s="71" customFormat="1" ht="15.75" customHeight="1"/>
    <x:row r="368" s="71" customFormat="1" ht="15.75" customHeight="1"/>
    <x:row r="369" s="71" customFormat="1" ht="15.75" customHeight="1"/>
    <x:row r="370" s="71" customFormat="1" ht="15.75" customHeight="1"/>
    <x:row r="371" s="71" customFormat="1" ht="15.75" customHeight="1"/>
    <x:row r="372" s="71" customFormat="1" ht="15.75" customHeight="1"/>
    <x:row r="373" s="71" customFormat="1" ht="15.75" customHeight="1"/>
    <x:row r="374" s="71" customFormat="1" ht="15.75" customHeight="1"/>
    <x:row r="375" s="71" customFormat="1" ht="15.75" customHeight="1"/>
    <x:row r="376" s="71" customFormat="1" ht="15.75" customHeight="1"/>
    <x:row r="377" s="71" customFormat="1" ht="15.75" customHeight="1"/>
    <x:row r="378" s="71" customFormat="1" ht="15.75" customHeight="1"/>
    <x:row r="379" s="71" customFormat="1" ht="15.75" customHeight="1"/>
    <x:row r="380" s="71" customFormat="1" ht="15.75" customHeight="1"/>
    <x:row r="381" s="71" customFormat="1" ht="15.75" customHeight="1"/>
    <x:row r="382" s="71" customFormat="1" ht="15.75" customHeight="1"/>
    <x:row r="383" s="71" customFormat="1" ht="15.75" customHeight="1"/>
    <x:row r="384" s="71" customFormat="1" ht="15.75" customHeight="1"/>
    <x:row r="385" s="71" customFormat="1" ht="15.75" customHeight="1"/>
    <x:row r="386" s="71" customFormat="1" ht="15.75" customHeight="1"/>
    <x:row r="387" s="71" customFormat="1" ht="15.75" customHeight="1"/>
    <x:row r="388" s="71" customFormat="1" ht="15.75" customHeight="1"/>
    <x:row r="389" s="71" customFormat="1" ht="15.75" customHeight="1"/>
    <x:row r="390" s="71" customFormat="1" ht="15.75" customHeight="1"/>
    <x:row r="391" s="71" customFormat="1" ht="15.75" customHeight="1"/>
    <x:row r="392" s="71" customFormat="1" ht="15.75" customHeight="1"/>
    <x:row r="393" s="71" customFormat="1" ht="15.75" customHeight="1"/>
    <x:row r="394" s="71" customFormat="1" ht="15.75" customHeight="1"/>
    <x:row r="395" s="71" customFormat="1" ht="15.75" customHeight="1"/>
    <x:row r="396" s="71" customFormat="1" ht="15.75" customHeight="1"/>
    <x:row r="397" s="71" customFormat="1" ht="15.75" customHeight="1"/>
    <x:row r="398" s="71" customFormat="1" ht="15.75" customHeight="1"/>
    <x:row r="399" s="71" customFormat="1" ht="15.75" customHeight="1"/>
    <x:row r="400" s="71" customFormat="1" ht="15.75" customHeight="1"/>
    <x:row r="401" s="71" customFormat="1" ht="15.75" customHeight="1"/>
    <x:row r="402" s="71" customFormat="1" ht="15.75" customHeight="1"/>
    <x:row r="403" s="71" customFormat="1" ht="15.75" customHeight="1"/>
    <x:row r="404" s="71" customFormat="1" ht="15.75" customHeight="1"/>
    <x:row r="405" s="71" customFormat="1" ht="15.75" customHeight="1"/>
    <x:row r="406" s="71" customFormat="1" ht="15.75" customHeight="1"/>
    <x:row r="407" s="71" customFormat="1" ht="15.75" customHeight="1"/>
    <x:row r="408" s="71" customFormat="1" ht="15.75" customHeight="1"/>
    <x:row r="409" s="71" customFormat="1" ht="15.75" customHeight="1"/>
    <x:row r="410" s="71" customFormat="1" ht="15.75" customHeight="1"/>
    <x:row r="411" s="71" customFormat="1" ht="15.75" customHeight="1"/>
    <x:row r="412" s="71" customFormat="1" ht="15.75" customHeight="1"/>
    <x:row r="413" s="71" customFormat="1" ht="15.75" customHeight="1"/>
    <x:row r="414" s="71" customFormat="1" ht="15.75" customHeight="1"/>
    <x:row r="415" s="71" customFormat="1" ht="15.75" customHeight="1"/>
    <x:row r="416" s="71" customFormat="1" ht="15.75" customHeight="1"/>
    <x:row r="417" s="71" customFormat="1" ht="15.75" customHeight="1"/>
    <x:row r="418" s="71" customFormat="1" ht="15.75" customHeight="1"/>
    <x:row r="419" s="71" customFormat="1" ht="15.75" customHeight="1"/>
    <x:row r="420" s="71" customFormat="1" ht="15.75" customHeight="1"/>
    <x:row r="421" s="71" customFormat="1" ht="15.75" customHeight="1"/>
    <x:row r="422" s="71" customFormat="1" ht="15.75" customHeight="1"/>
    <x:row r="423" s="71" customFormat="1" ht="15.75" customHeight="1"/>
    <x:row r="424" s="71" customFormat="1" ht="15.75" customHeight="1"/>
    <x:row r="425" s="71" customFormat="1" ht="15.75" customHeight="1"/>
    <x:row r="426" s="71" customFormat="1" ht="15.75" customHeight="1"/>
    <x:row r="427" s="71" customFormat="1" ht="15.75" customHeight="1"/>
    <x:row r="428" s="71" customFormat="1" ht="15.75" customHeight="1"/>
    <x:row r="429" s="71" customFormat="1" ht="15.75" customHeight="1"/>
    <x:row r="430" s="71" customFormat="1" ht="15.75" customHeight="1"/>
    <x:row r="431" s="71" customFormat="1" ht="15.75" customHeight="1"/>
    <x:row r="432" s="71" customFormat="1" ht="15.75" customHeight="1"/>
    <x:row r="433" s="71" customFormat="1" ht="15.75" customHeight="1"/>
    <x:row r="434" s="71" customFormat="1" ht="15.75" customHeight="1"/>
    <x:row r="435" s="71" customFormat="1" ht="15.75" customHeight="1"/>
    <x:row r="436" s="71" customFormat="1" ht="15.75" customHeight="1"/>
    <x:row r="437" s="71" customFormat="1" ht="15.75" customHeight="1"/>
    <x:row r="438" s="71" customFormat="1" ht="15.75" customHeight="1"/>
    <x:row r="439" s="71" customFormat="1" ht="15.75" customHeight="1"/>
    <x:row r="440" s="71" customFormat="1" ht="15.75" customHeight="1"/>
    <x:row r="441" s="71" customFormat="1" ht="15.75" customHeight="1"/>
    <x:row r="442" s="71" customFormat="1" ht="15.75" customHeight="1"/>
    <x:row r="443" s="71" customFormat="1" ht="15.75" customHeight="1"/>
    <x:row r="444" s="71" customFormat="1" ht="15.75" customHeight="1"/>
    <x:row r="445" s="71" customFormat="1" ht="15.75" customHeight="1"/>
    <x:row r="446" s="71" customFormat="1" ht="15.75" customHeight="1"/>
    <x:row r="447" s="71" customFormat="1" ht="15.75" customHeight="1"/>
    <x:row r="448" s="71" customFormat="1" ht="15.75" customHeight="1"/>
    <x:row r="449" s="71" customFormat="1" ht="15.75" customHeight="1"/>
    <x:row r="450" s="71" customFormat="1" ht="15.75" customHeight="1"/>
    <x:row r="451" s="71" customFormat="1" ht="15.75" customHeight="1"/>
    <x:row r="452" s="71" customFormat="1" ht="15.75" customHeight="1"/>
    <x:row r="453" s="71" customFormat="1" ht="15.75" customHeight="1"/>
    <x:row r="454" s="71" customFormat="1" ht="15.75" customHeight="1"/>
    <x:row r="455" s="71" customFormat="1" ht="15.75" customHeight="1"/>
    <x:row r="456" s="71" customFormat="1" ht="15.75" customHeight="1"/>
    <x:row r="457" s="71" customFormat="1" ht="15.75" customHeight="1"/>
    <x:row r="458" s="71" customFormat="1" ht="15.75" customHeight="1"/>
    <x:row r="459" s="71" customFormat="1" ht="15.75" customHeight="1"/>
    <x:row r="460" s="71" customFormat="1" ht="15.75" customHeight="1"/>
    <x:row r="461" s="71" customFormat="1" ht="15.75" customHeight="1"/>
    <x:row r="462" s="71" customFormat="1" ht="15.75" customHeight="1"/>
    <x:row r="463" s="71" customFormat="1" ht="15.75" customHeight="1"/>
    <x:row r="464" s="71" customFormat="1" ht="15.75" customHeight="1"/>
    <x:row r="465" s="71" customFormat="1" ht="15.75" customHeight="1"/>
    <x:row r="466" s="71" customFormat="1" ht="15.75" customHeight="1"/>
    <x:row r="467" s="71" customFormat="1" ht="15.75" customHeight="1"/>
    <x:row r="468" s="71" customFormat="1" ht="15.75" customHeight="1"/>
    <x:row r="469" s="71" customFormat="1" ht="15.75" customHeight="1"/>
    <x:row r="470" s="71" customFormat="1" ht="15.75" customHeight="1"/>
    <x:row r="471" s="71" customFormat="1" ht="15.75" customHeight="1"/>
    <x:row r="472" s="71" customFormat="1" ht="15.75" customHeight="1"/>
    <x:row r="473" s="71" customFormat="1" ht="15.75" customHeight="1"/>
    <x:row r="474" s="71" customFormat="1" ht="15.75" customHeight="1"/>
    <x:row r="475" s="71" customFormat="1" ht="15.75" customHeight="1"/>
    <x:row r="476" s="71" customFormat="1" ht="15.75" customHeight="1"/>
    <x:row r="477" s="71" customFormat="1" ht="15.75" customHeight="1"/>
    <x:row r="478" s="71" customFormat="1" ht="15.75" customHeight="1"/>
    <x:row r="479" s="71" customFormat="1" ht="15.75" customHeight="1"/>
    <x:row r="480" s="71" customFormat="1" ht="15.75" customHeight="1"/>
    <x:row r="481" s="71" customFormat="1" ht="15.75" customHeight="1"/>
    <x:row r="482" s="71" customFormat="1" ht="15.75" customHeight="1"/>
    <x:row r="483" s="71" customFormat="1" ht="15.75" customHeight="1"/>
    <x:row r="484" s="71" customFormat="1" ht="15.75" customHeight="1"/>
    <x:row r="485" s="71" customFormat="1" ht="15.75" customHeight="1"/>
    <x:row r="486" s="71" customFormat="1" ht="15.75" customHeight="1"/>
    <x:row r="487" s="71" customFormat="1" ht="15.75" customHeight="1"/>
    <x:row r="488" s="71" customFormat="1" ht="15.75" customHeight="1"/>
    <x:row r="489" s="71" customFormat="1" ht="15.75" customHeight="1"/>
    <x:row r="490" s="71" customFormat="1" ht="15.75" customHeight="1"/>
    <x:row r="491" s="71" customFormat="1" ht="15.75" customHeight="1"/>
    <x:row r="492" s="71" customFormat="1" ht="15.75" customHeight="1"/>
    <x:row r="493" s="71" customFormat="1" ht="15.75" customHeight="1"/>
    <x:row r="494" s="71" customFormat="1" ht="15.75" customHeight="1"/>
    <x:row r="495" s="71" customFormat="1" ht="15.75" customHeight="1"/>
    <x:row r="496" s="71" customFormat="1" ht="15.75" customHeight="1"/>
    <x:row r="497" s="71" customFormat="1" ht="15.75" customHeight="1"/>
    <x:row r="498" s="71" customFormat="1" ht="15.75" customHeight="1"/>
    <x:row r="499" s="71" customFormat="1" ht="15.75" customHeight="1"/>
    <x:row r="500" s="71" customFormat="1" ht="15.75" customHeight="1"/>
    <x:row r="501" s="71" customFormat="1" ht="15.75" customHeight="1"/>
    <x:row r="502" s="71" customFormat="1" ht="15.75" customHeight="1"/>
    <x:row r="503" s="71" customFormat="1" ht="15.75" customHeight="1"/>
    <x:row r="504" s="71" customFormat="1" ht="15.75" customHeight="1"/>
    <x:row r="505" s="71" customFormat="1" ht="15.75" customHeight="1"/>
    <x:row r="506" s="71" customFormat="1" ht="15.75" customHeight="1"/>
    <x:row r="507" s="71" customFormat="1" ht="15.75" customHeight="1"/>
    <x:row r="508" s="71" customFormat="1" ht="15.75" customHeight="1"/>
    <x:row r="509" s="71" customFormat="1" ht="15.75" customHeight="1"/>
    <x:row r="510" s="71" customFormat="1" ht="15.75" customHeight="1"/>
    <x:row r="511" s="71" customFormat="1" ht="15.75" customHeight="1"/>
    <x:row r="512" s="71" customFormat="1" ht="15.75" customHeight="1"/>
    <x:row r="513" s="71" customFormat="1" ht="15.75" customHeight="1"/>
    <x:row r="514" s="71" customFormat="1" ht="15.75" customHeight="1"/>
    <x:row r="515" s="71" customFormat="1" ht="15.75" customHeight="1"/>
    <x:row r="516" s="71" customFormat="1" ht="15.75" customHeight="1"/>
    <x:row r="517" s="71" customFormat="1" ht="15.75" customHeight="1"/>
    <x:row r="518" s="71" customFormat="1" ht="15.75" customHeight="1"/>
    <x:row r="519" s="71" customFormat="1" ht="15.75" customHeight="1"/>
    <x:row r="520" s="71" customFormat="1" ht="15.75" customHeight="1"/>
    <x:row r="521" s="71" customFormat="1" ht="15.75" customHeight="1"/>
    <x:row r="522" s="71" customFormat="1" ht="15.75" customHeight="1"/>
    <x:row r="523" s="71" customFormat="1" ht="15.75" customHeight="1"/>
    <x:row r="524" s="71" customFormat="1" ht="15.75" customHeight="1"/>
    <x:row r="525" s="71" customFormat="1" ht="15.75" customHeight="1"/>
    <x:row r="526" s="71" customFormat="1" ht="15.75" customHeight="1"/>
    <x:row r="527" s="71" customFormat="1" ht="15.75" customHeight="1"/>
    <x:row r="528" s="71" customFormat="1" ht="15.75" customHeight="1"/>
    <x:row r="529" s="71" customFormat="1" ht="15.75" customHeight="1"/>
    <x:row r="530" s="71" customFormat="1" ht="15.75" customHeight="1"/>
    <x:row r="531" s="71" customFormat="1" ht="15.75" customHeight="1"/>
    <x:row r="532" s="71" customFormat="1" ht="15.75" customHeight="1"/>
    <x:row r="533" s="71" customFormat="1" ht="15.75" customHeight="1"/>
    <x:row r="534" s="71" customFormat="1" ht="15.75" customHeight="1"/>
    <x:row r="535" s="71" customFormat="1" ht="15.75" customHeight="1"/>
    <x:row r="536" s="71" customFormat="1" ht="15.75" customHeight="1"/>
    <x:row r="537" s="71" customFormat="1" ht="15.75" customHeight="1"/>
    <x:row r="538" s="71" customFormat="1" ht="15.75" customHeight="1"/>
    <x:row r="539" s="71" customFormat="1" ht="15.75" customHeight="1"/>
    <x:row r="540" s="71" customFormat="1" ht="15.75" customHeight="1"/>
    <x:row r="541" s="71" customFormat="1" ht="15.75" customHeight="1"/>
    <x:row r="542" s="71" customFormat="1" ht="15.75" customHeight="1"/>
    <x:row r="543" s="71" customFormat="1" ht="15.75" customHeight="1"/>
    <x:row r="544" s="71" customFormat="1" ht="15.75" customHeight="1"/>
    <x:row r="545" s="71" customFormat="1" ht="15.75" customHeight="1"/>
    <x:row r="546" s="71" customFormat="1" ht="15.75" customHeight="1"/>
    <x:row r="547" s="71" customFormat="1" ht="15.75" customHeight="1"/>
    <x:row r="548" s="71" customFormat="1" ht="15.75" customHeight="1"/>
    <x:row r="549" s="71" customFormat="1" ht="15.75" customHeight="1"/>
    <x:row r="550" s="71" customFormat="1" ht="15.75" customHeight="1"/>
    <x:row r="551" s="71" customFormat="1" ht="15.75" customHeight="1"/>
    <x:row r="552" s="71" customFormat="1" ht="15.75" customHeight="1"/>
    <x:row r="553" s="71" customFormat="1" ht="15.75" customHeight="1"/>
    <x:row r="554" s="71" customFormat="1" ht="15.75" customHeight="1"/>
    <x:row r="555" s="71" customFormat="1" ht="15.75" customHeight="1"/>
    <x:row r="556" s="71" customFormat="1" ht="15.75" customHeight="1"/>
    <x:row r="557" s="71" customFormat="1" ht="15.75" customHeight="1"/>
    <x:row r="558" s="71" customFormat="1" ht="15.75" customHeight="1"/>
    <x:row r="559" s="71" customFormat="1" ht="15.75" customHeight="1"/>
    <x:row r="560" s="71" customFormat="1" ht="15.75" customHeight="1"/>
    <x:row r="561" s="71" customFormat="1" ht="15.75" customHeight="1"/>
    <x:row r="562" s="71" customFormat="1" ht="15.75" customHeight="1"/>
    <x:row r="563" s="71" customFormat="1" ht="15.75" customHeight="1"/>
    <x:row r="564" s="71" customFormat="1" ht="15.75" customHeight="1"/>
    <x:row r="565" s="71" customFormat="1" ht="15.75" customHeight="1"/>
    <x:row r="566" s="71" customFormat="1" ht="15.75" customHeight="1"/>
    <x:row r="567" s="71" customFormat="1" ht="15.75" customHeight="1"/>
    <x:row r="568" s="71" customFormat="1" ht="15.75" customHeight="1"/>
    <x:row r="569" s="71" customFormat="1" ht="15.75" customHeight="1"/>
    <x:row r="570" s="71" customFormat="1" ht="15.75" customHeight="1"/>
    <x:row r="571" s="71" customFormat="1" ht="15.75" customHeight="1"/>
    <x:row r="572" s="71" customFormat="1" ht="15.75" customHeight="1"/>
    <x:row r="573" s="71" customFormat="1" ht="15.75" customHeight="1"/>
    <x:row r="574" s="71" customFormat="1" ht="15.75" customHeight="1"/>
    <x:row r="575" s="71" customFormat="1" ht="15.75" customHeight="1"/>
    <x:row r="576" s="71" customFormat="1" ht="15.75" customHeight="1"/>
    <x:row r="577" s="71" customFormat="1" ht="15.75" customHeight="1"/>
    <x:row r="578" s="71" customFormat="1" ht="15.75" customHeight="1"/>
    <x:row r="579" s="71" customFormat="1" ht="15.75" customHeight="1"/>
    <x:row r="580" s="71" customFormat="1" ht="15.75" customHeight="1"/>
    <x:row r="581" s="71" customFormat="1" ht="15.75" customHeight="1"/>
    <x:row r="582" s="71" customFormat="1" ht="15.75" customHeight="1"/>
    <x:row r="583" s="71" customFormat="1" ht="15.75" customHeight="1"/>
    <x:row r="584" s="71" customFormat="1" ht="15.75" customHeight="1"/>
    <x:row r="585" s="71" customFormat="1" ht="15.75" customHeight="1"/>
    <x:row r="586" s="71" customFormat="1" ht="15.75" customHeight="1"/>
    <x:row r="587" s="71" customFormat="1" ht="15.75" customHeight="1"/>
    <x:row r="588" s="71" customFormat="1" ht="15.75" customHeight="1"/>
    <x:row r="589" s="71" customFormat="1" ht="15.75" customHeight="1"/>
    <x:row r="590" s="71" customFormat="1" ht="15.75" customHeight="1"/>
    <x:row r="591" s="71" customFormat="1" ht="15.75" customHeight="1"/>
    <x:row r="592" s="71" customFormat="1" ht="15.75" customHeight="1"/>
    <x:row r="593" s="71" customFormat="1" ht="15.75" customHeight="1"/>
    <x:row r="594" s="71" customFormat="1" ht="15.75" customHeight="1"/>
    <x:row r="595" s="71" customFormat="1" ht="15.75" customHeight="1"/>
    <x:row r="596" s="71" customFormat="1" ht="15.75" customHeight="1"/>
    <x:row r="597" s="71" customFormat="1" ht="15.75" customHeight="1"/>
    <x:row r="598" s="71" customFormat="1" ht="15.75" customHeight="1"/>
    <x:row r="599" s="71" customFormat="1" ht="15.75" customHeight="1"/>
    <x:row r="600" s="71" customFormat="1" ht="15.75" customHeight="1"/>
    <x:row r="601" s="71" customFormat="1" ht="15.75" customHeight="1"/>
    <x:row r="602" s="71" customFormat="1" ht="15.75" customHeight="1"/>
    <x:row r="603" s="71" customFormat="1" ht="15.75" customHeight="1"/>
    <x:row r="604" s="71" customFormat="1" ht="15.75" customHeight="1"/>
    <x:row r="605" s="71" customFormat="1" ht="15.75" customHeight="1"/>
    <x:row r="606" s="71" customFormat="1" ht="15.75" customHeight="1"/>
    <x:row r="607" s="71" customFormat="1" ht="15.75" customHeight="1"/>
    <x:row r="608" s="71" customFormat="1" ht="15.75" customHeight="1"/>
    <x:row r="609" s="71" customFormat="1" ht="15.75" customHeight="1"/>
    <x:row r="610" s="71" customFormat="1" ht="15.75" customHeight="1"/>
    <x:row r="611" s="71" customFormat="1" ht="15.75" customHeight="1"/>
    <x:row r="612" s="71" customFormat="1" ht="15.75" customHeight="1"/>
    <x:row r="613" s="71" customFormat="1" ht="15.75" customHeight="1"/>
    <x:row r="614" s="71" customFormat="1" ht="15.75" customHeight="1"/>
    <x:row r="615" s="71" customFormat="1" ht="15.75" customHeight="1"/>
    <x:row r="616" s="71" customFormat="1" ht="15.75" customHeight="1"/>
    <x:row r="617" s="71" customFormat="1" ht="15.75" customHeight="1"/>
    <x:row r="618" s="71" customFormat="1" ht="15.75" customHeight="1"/>
    <x:row r="619" s="71" customFormat="1" ht="15.75" customHeight="1"/>
    <x:row r="620" s="71" customFormat="1" ht="15.75" customHeight="1"/>
    <x:row r="621" s="71" customFormat="1" ht="15.75" customHeight="1"/>
    <x:row r="622" s="71" customFormat="1" ht="15.75" customHeight="1"/>
    <x:row r="623" s="71" customFormat="1" ht="15.75" customHeight="1"/>
    <x:row r="624" s="71" customFormat="1" ht="15.75" customHeight="1"/>
    <x:row r="625" s="71" customFormat="1" ht="15.75" customHeight="1"/>
    <x:row r="626" s="71" customFormat="1" ht="15.75" customHeight="1"/>
    <x:row r="627" s="71" customFormat="1" ht="15.75" customHeight="1"/>
    <x:row r="628" s="71" customFormat="1" ht="15.75" customHeight="1"/>
    <x:row r="629" s="71" customFormat="1" ht="15.75" customHeight="1"/>
    <x:row r="630" s="71" customFormat="1" ht="15.75" customHeight="1"/>
    <x:row r="631" s="71" customFormat="1" ht="15.75" customHeight="1"/>
    <x:row r="632" s="71" customFormat="1" ht="15.75" customHeight="1"/>
    <x:row r="633" s="71" customFormat="1" ht="15.75" customHeight="1"/>
    <x:row r="634" s="71" customFormat="1" ht="15.75" customHeight="1"/>
    <x:row r="635" s="71" customFormat="1" ht="15.75" customHeight="1"/>
    <x:row r="636" s="71" customFormat="1" ht="15.75" customHeight="1"/>
    <x:row r="637" s="71" customFormat="1" ht="15.75" customHeight="1"/>
    <x:row r="638" s="71" customFormat="1" ht="15.75" customHeight="1"/>
    <x:row r="639" s="71" customFormat="1" ht="15.75" customHeight="1"/>
    <x:row r="640" s="71" customFormat="1" ht="15.75" customHeight="1"/>
    <x:row r="641" s="71" customFormat="1" ht="15.75" customHeight="1"/>
    <x:row r="642" s="71" customFormat="1" ht="15.75" customHeight="1"/>
    <x:row r="643" s="71" customFormat="1" ht="15.75" customHeight="1"/>
    <x:row r="644" s="71" customFormat="1" ht="15.75" customHeight="1"/>
    <x:row r="645" s="71" customFormat="1" ht="15.75" customHeight="1"/>
    <x:row r="646" s="71" customFormat="1" ht="15.75" customHeight="1"/>
    <x:row r="647" s="71" customFormat="1" ht="15.75" customHeight="1"/>
    <x:row r="648" s="71" customFormat="1" ht="15.75" customHeight="1"/>
    <x:row r="649" s="71" customFormat="1" ht="15.75" customHeight="1"/>
    <x:row r="650" s="71" customFormat="1" ht="15.75" customHeight="1"/>
    <x:row r="651" s="71" customFormat="1" ht="15.75" customHeight="1"/>
    <x:row r="652" s="71" customFormat="1" ht="15.75" customHeight="1"/>
    <x:row r="653" s="71" customFormat="1" ht="15.75" customHeight="1"/>
    <x:row r="654" s="71" customFormat="1" ht="15.75" customHeight="1"/>
    <x:row r="655" s="71" customFormat="1" ht="15.75" customHeight="1"/>
    <x:row r="656" s="71" customFormat="1" ht="15.75" customHeight="1"/>
    <x:row r="657" s="71" customFormat="1" ht="15.75" customHeight="1"/>
    <x:row r="658" s="71" customFormat="1" ht="15.75" customHeight="1"/>
    <x:row r="659" s="71" customFormat="1" ht="15.75" customHeight="1"/>
    <x:row r="660" s="71" customFormat="1" ht="15.75" customHeight="1"/>
    <x:row r="661" s="71" customFormat="1" ht="15.75" customHeight="1"/>
    <x:row r="662" s="71" customFormat="1" ht="15.75" customHeight="1"/>
    <x:row r="663" s="71" customFormat="1" ht="15.75" customHeight="1"/>
    <x:row r="664" s="71" customFormat="1" ht="15.75" customHeight="1"/>
    <x:row r="665" s="71" customFormat="1" ht="15.75" customHeight="1"/>
    <x:row r="666" s="71" customFormat="1" ht="15.75" customHeight="1"/>
    <x:row r="667" s="71" customFormat="1" ht="15.75" customHeight="1"/>
    <x:row r="668" s="71" customFormat="1" ht="15.75" customHeight="1"/>
    <x:row r="669" s="71" customFormat="1" ht="15.75" customHeight="1"/>
    <x:row r="670" s="71" customFormat="1" ht="15.75" customHeight="1"/>
    <x:row r="671" s="71" customFormat="1" ht="15.75" customHeight="1"/>
    <x:row r="672" s="71" customFormat="1" ht="15.75" customHeight="1"/>
    <x:row r="673" s="71" customFormat="1" ht="15.75" customHeight="1"/>
    <x:row r="674" s="71" customFormat="1" ht="15.75" customHeight="1"/>
    <x:row r="675" s="71" customFormat="1" ht="15.75" customHeight="1"/>
    <x:row r="676" s="71" customFormat="1" ht="15.75" customHeight="1"/>
    <x:row r="677" s="71" customFormat="1" ht="15.75" customHeight="1"/>
    <x:row r="678" s="71" customFormat="1" ht="15.75" customHeight="1"/>
    <x:row r="679" s="71" customFormat="1" ht="15.75" customHeight="1"/>
    <x:row r="680" s="71" customFormat="1" ht="15.75" customHeight="1"/>
    <x:row r="681" s="71" customFormat="1" ht="15.75" customHeight="1"/>
    <x:row r="682" s="71" customFormat="1" ht="15.75" customHeight="1"/>
    <x:row r="683" s="71" customFormat="1" ht="15.75" customHeight="1"/>
    <x:row r="684" s="71" customFormat="1" ht="15.75" customHeight="1"/>
    <x:row r="685" s="71" customFormat="1" ht="15.75" customHeight="1"/>
    <x:row r="686" s="71" customFormat="1" ht="15.75" customHeight="1"/>
    <x:row r="687" s="71" customFormat="1" ht="15.75" customHeight="1"/>
    <x:row r="688" s="71" customFormat="1" ht="15.75" customHeight="1"/>
    <x:row r="689" s="71" customFormat="1" ht="15.75" customHeight="1"/>
    <x:row r="690" s="71" customFormat="1" ht="15.75" customHeight="1"/>
    <x:row r="691" s="71" customFormat="1" ht="15.75" customHeight="1"/>
    <x:row r="692" s="71" customFormat="1" ht="15.75" customHeight="1"/>
    <x:row r="693" s="71" customFormat="1" ht="15.75" customHeight="1"/>
    <x:row r="694" s="71" customFormat="1" ht="15.75" customHeight="1"/>
    <x:row r="695" s="71" customFormat="1" ht="15.75" customHeight="1"/>
    <x:row r="696" s="71" customFormat="1" ht="15.75" customHeight="1"/>
    <x:row r="697" s="71" customFormat="1" ht="15.75" customHeight="1"/>
    <x:row r="698" s="71" customFormat="1" ht="15.75" customHeight="1"/>
    <x:row r="699" s="71" customFormat="1" ht="15.75" customHeight="1"/>
    <x:row r="700" s="71" customFormat="1" ht="15.75" customHeight="1"/>
    <x:row r="701" s="71" customFormat="1" ht="15.75" customHeight="1"/>
    <x:row r="702" s="71" customFormat="1" ht="15.75" customHeight="1"/>
    <x:row r="703" s="71" customFormat="1" ht="15.75" customHeight="1"/>
    <x:row r="704" s="71" customFormat="1" ht="15.75" customHeight="1"/>
    <x:row r="705" s="71" customFormat="1" ht="15.75" customHeight="1"/>
    <x:row r="706" s="71" customFormat="1" ht="15.75" customHeight="1"/>
    <x:row r="707" s="71" customFormat="1" ht="15.75" customHeight="1"/>
    <x:row r="708" s="71" customFormat="1" ht="15.75" customHeight="1"/>
    <x:row r="709" s="71" customFormat="1" ht="15.75" customHeight="1"/>
    <x:row r="710" s="71" customFormat="1" ht="15.75" customHeight="1"/>
    <x:row r="711" s="71" customFormat="1" ht="15.75" customHeight="1"/>
    <x:row r="712" s="71" customFormat="1" ht="15.75" customHeight="1"/>
    <x:row r="713" s="71" customFormat="1" ht="15.75" customHeight="1"/>
    <x:row r="714" s="71" customFormat="1" ht="15.75" customHeight="1"/>
    <x:row r="715" s="71" customFormat="1" ht="15.75" customHeight="1"/>
    <x:row r="716" s="71" customFormat="1" ht="15.75" customHeight="1"/>
    <x:row r="717" s="71" customFormat="1" ht="15.75" customHeight="1"/>
    <x:row r="718" s="71" customFormat="1" ht="15.75" customHeight="1"/>
    <x:row r="719" s="71" customFormat="1" ht="15.75" customHeight="1"/>
    <x:row r="720" s="71" customFormat="1" ht="15.75" customHeight="1"/>
    <x:row r="721" s="71" customFormat="1" ht="15.75" customHeight="1"/>
    <x:row r="722" s="71" customFormat="1" ht="15.75" customHeight="1"/>
    <x:row r="723" s="71" customFormat="1" ht="15.75" customHeight="1"/>
    <x:row r="724" s="71" customFormat="1" ht="15.75" customHeight="1"/>
    <x:row r="725" s="71" customFormat="1" ht="15.75" customHeight="1"/>
    <x:row r="726" s="71" customFormat="1" ht="15.75" customHeight="1"/>
    <x:row r="727" s="71" customFormat="1" ht="15.75" customHeight="1"/>
    <x:row r="728" s="71" customFormat="1" ht="15.75" customHeight="1"/>
    <x:row r="729" s="71" customFormat="1" ht="15.75" customHeight="1"/>
    <x:row r="730" s="71" customFormat="1" ht="15.75" customHeight="1"/>
    <x:row r="731" s="71" customFormat="1" ht="15.75" customHeight="1"/>
    <x:row r="732" s="71" customFormat="1" ht="15.75" customHeight="1"/>
    <x:row r="733" s="71" customFormat="1" ht="15.75" customHeight="1"/>
    <x:row r="734" s="71" customFormat="1" ht="15.75" customHeight="1"/>
    <x:row r="735" s="71" customFormat="1" ht="15.75" customHeight="1"/>
    <x:row r="736" s="71" customFormat="1" ht="15.75" customHeight="1"/>
    <x:row r="737" s="71" customFormat="1" ht="15.75" customHeight="1"/>
    <x:row r="738" s="71" customFormat="1" ht="15.75" customHeight="1"/>
    <x:row r="739" s="71" customFormat="1" ht="15.75" customHeight="1"/>
    <x:row r="740" s="71" customFormat="1" ht="15.75" customHeight="1"/>
    <x:row r="741" s="71" customFormat="1" ht="15.75" customHeight="1"/>
    <x:row r="742" s="71" customFormat="1" ht="15.75" customHeight="1"/>
    <x:row r="743" s="71" customFormat="1" ht="15.75" customHeight="1"/>
    <x:row r="744" s="71" customFormat="1" ht="15.75" customHeight="1"/>
    <x:row r="745" s="71" customFormat="1" ht="15.75" customHeight="1"/>
    <x:row r="746" s="71" customFormat="1" ht="15.75" customHeight="1"/>
    <x:row r="747" s="71" customFormat="1" ht="15.75" customHeight="1"/>
    <x:row r="748" s="71" customFormat="1" ht="15.75" customHeight="1"/>
    <x:row r="749" s="71" customFormat="1" ht="15.75" customHeight="1"/>
    <x:row r="750" s="71" customFormat="1" ht="15.75" customHeight="1"/>
    <x:row r="751" s="71" customFormat="1" ht="15.75" customHeight="1"/>
    <x:row r="752" s="71" customFormat="1" ht="15.75" customHeight="1"/>
    <x:row r="753" s="71" customFormat="1" ht="15.75" customHeight="1"/>
    <x:row r="754" s="71" customFormat="1" ht="15.75" customHeight="1"/>
    <x:row r="755" s="71" customFormat="1" ht="15.75" customHeight="1"/>
    <x:row r="756" s="71" customFormat="1" ht="15.75" customHeight="1"/>
    <x:row r="757" s="71" customFormat="1" ht="15.75" customHeight="1"/>
    <x:row r="758" s="71" customFormat="1" ht="15.75" customHeight="1"/>
    <x:row r="759" s="71" customFormat="1" ht="15.75" customHeight="1"/>
    <x:row r="760" s="71" customFormat="1" ht="15.75" customHeight="1"/>
    <x:row r="761" s="71" customFormat="1" ht="15.75" customHeight="1"/>
    <x:row r="762" s="71" customFormat="1" ht="15.75" customHeight="1"/>
    <x:row r="763" s="71" customFormat="1" ht="15.75" customHeight="1"/>
    <x:row r="764" s="71" customFormat="1" ht="15.75" customHeight="1"/>
    <x:row r="765" s="71" customFormat="1" ht="15.75" customHeight="1"/>
    <x:row r="766" s="71" customFormat="1" ht="15.75" customHeight="1"/>
    <x:row r="767" s="71" customFormat="1" ht="15.75" customHeight="1"/>
    <x:row r="768" s="71" customFormat="1" ht="15.75" customHeight="1"/>
    <x:row r="769" s="71" customFormat="1" ht="15.75" customHeight="1"/>
    <x:row r="770" s="71" customFormat="1" ht="15.75" customHeight="1"/>
    <x:row r="771" s="71" customFormat="1" ht="15.75" customHeight="1"/>
    <x:row r="772" s="71" customFormat="1" ht="15.75" customHeight="1"/>
    <x:row r="773" s="71" customFormat="1" ht="15.75" customHeight="1"/>
    <x:row r="774" s="71" customFormat="1" ht="15.75" customHeight="1"/>
    <x:row r="775" s="71" customFormat="1" ht="15.75" customHeight="1"/>
    <x:row r="776" s="71" customFormat="1" ht="15.75" customHeight="1"/>
    <x:row r="777" s="71" customFormat="1" ht="15.75" customHeight="1"/>
    <x:row r="778" s="71" customFormat="1" ht="15.75" customHeight="1"/>
    <x:row r="779" s="71" customFormat="1" ht="15.75" customHeight="1"/>
    <x:row r="780" s="71" customFormat="1" ht="15.75" customHeight="1"/>
    <x:row r="781" s="71" customFormat="1" ht="15.75" customHeight="1"/>
    <x:row r="782" s="71" customFormat="1" ht="15.75" customHeight="1"/>
    <x:row r="783" s="71" customFormat="1" ht="15.75" customHeight="1"/>
    <x:row r="784" s="71" customFormat="1" ht="15.75" customHeight="1"/>
    <x:row r="785" s="71" customFormat="1" ht="15.75" customHeight="1"/>
    <x:row r="786" s="71" customFormat="1" ht="15.75" customHeight="1"/>
    <x:row r="787" s="71" customFormat="1" ht="15.75" customHeight="1"/>
    <x:row r="788" s="71" customFormat="1" ht="15.75" customHeight="1"/>
    <x:row r="789" s="71" customFormat="1" ht="15.75" customHeight="1"/>
    <x:row r="790" s="71" customFormat="1" ht="15.75" customHeight="1"/>
    <x:row r="791" s="71" customFormat="1" ht="15.75" customHeight="1"/>
    <x:row r="792" s="71" customFormat="1" ht="15.75" customHeight="1"/>
    <x:row r="793" s="71" customFormat="1" ht="15.75" customHeight="1"/>
    <x:row r="794" s="71" customFormat="1" ht="15.75" customHeight="1"/>
    <x:row r="795" s="71" customFormat="1" ht="15.75" customHeight="1"/>
    <x:row r="796" s="71" customFormat="1" ht="15.75" customHeight="1"/>
    <x:row r="797" s="71" customFormat="1" ht="15.75" customHeight="1"/>
    <x:row r="798" s="71" customFormat="1" ht="15.75" customHeight="1"/>
    <x:row r="799" s="71" customFormat="1" ht="15.75" customHeight="1"/>
    <x:row r="800" s="71" customFormat="1" ht="15.75" customHeight="1"/>
    <x:row r="801" s="71" customFormat="1" ht="15.75" customHeight="1"/>
    <x:row r="802" s="71" customFormat="1" ht="15.75" customHeight="1"/>
    <x:row r="803" s="71" customFormat="1" ht="15.75" customHeight="1"/>
    <x:row r="804" s="71" customFormat="1" ht="15.75" customHeight="1"/>
    <x:row r="805" s="71" customFormat="1" ht="15.75" customHeight="1"/>
    <x:row r="806" s="71" customFormat="1" ht="15.75" customHeight="1"/>
    <x:row r="807" s="71" customFormat="1" ht="15.75" customHeight="1"/>
    <x:row r="808" s="71" customFormat="1" ht="15.75" customHeight="1"/>
    <x:row r="809" s="71" customFormat="1" ht="15.75" customHeight="1"/>
    <x:row r="810" s="71" customFormat="1" ht="15.75" customHeight="1"/>
    <x:row r="811" s="71" customFormat="1" ht="15.75" customHeight="1"/>
    <x:row r="812" s="71" customFormat="1" ht="15.75" customHeight="1"/>
    <x:row r="813" s="71" customFormat="1" ht="15.75" customHeight="1"/>
    <x:row r="814" s="71" customFormat="1" ht="15.75" customHeight="1"/>
    <x:row r="815" s="71" customFormat="1" ht="15.75" customHeight="1"/>
    <x:row r="816" s="71" customFormat="1" ht="15.75" customHeight="1"/>
    <x:row r="817" s="71" customFormat="1" ht="15.75" customHeight="1"/>
    <x:row r="818" s="71" customFormat="1" ht="15.75" customHeight="1"/>
    <x:row r="819" s="71" customFormat="1" ht="15.75" customHeight="1"/>
    <x:row r="820" s="71" customFormat="1" ht="15.75" customHeight="1"/>
    <x:row r="821" s="71" customFormat="1" ht="15.75" customHeight="1"/>
    <x:row r="822" s="71" customFormat="1" ht="15.75" customHeight="1"/>
    <x:row r="823" s="71" customFormat="1" ht="15.75" customHeight="1"/>
    <x:row r="824" s="71" customFormat="1" ht="15.75" customHeight="1"/>
    <x:row r="825" s="71" customFormat="1" ht="15.75" customHeight="1"/>
    <x:row r="826" s="71" customFormat="1" ht="15.75" customHeight="1"/>
    <x:row r="827" s="71" customFormat="1" ht="15.75" customHeight="1"/>
    <x:row r="828" s="71" customFormat="1" ht="15.75" customHeight="1"/>
    <x:row r="829" s="71" customFormat="1" ht="15.75" customHeight="1"/>
    <x:row r="830" s="71" customFormat="1" ht="15.75" customHeight="1"/>
    <x:row r="831" s="71" customFormat="1" ht="15.75" customHeight="1"/>
    <x:row r="832" s="71" customFormat="1" ht="15.75" customHeight="1"/>
    <x:row r="833" s="71" customFormat="1" ht="15.75" customHeight="1"/>
    <x:row r="834" s="71" customFormat="1" ht="15.75" customHeight="1"/>
    <x:row r="835" s="71" customFormat="1" ht="15.75" customHeight="1"/>
    <x:row r="836" s="71" customFormat="1" ht="15.75" customHeight="1"/>
    <x:row r="837" s="71" customFormat="1" ht="15.75" customHeight="1"/>
    <x:row r="838" s="71" customFormat="1" ht="15.75" customHeight="1"/>
    <x:row r="839" s="71" customFormat="1" ht="15.75" customHeight="1"/>
    <x:row r="840" s="71" customFormat="1" ht="15.75" customHeight="1"/>
    <x:row r="841" s="71" customFormat="1" ht="15.75" customHeight="1"/>
    <x:row r="842" s="71" customFormat="1" ht="15.75" customHeight="1"/>
    <x:row r="843" s="71" customFormat="1" ht="15.75" customHeight="1"/>
    <x:row r="844" s="71" customFormat="1" ht="15.75" customHeight="1"/>
    <x:row r="845" s="71" customFormat="1" ht="15.75" customHeight="1"/>
    <x:row r="846" s="71" customFormat="1" ht="15.75" customHeight="1"/>
    <x:row r="847" s="71" customFormat="1" ht="15.75" customHeight="1"/>
    <x:row r="848" s="71" customFormat="1" ht="15.75" customHeight="1"/>
    <x:row r="849" s="71" customFormat="1" ht="15.75" customHeight="1"/>
    <x:row r="850" s="71" customFormat="1" ht="15.75" customHeight="1"/>
    <x:row r="851" s="71" customFormat="1" ht="15.75" customHeight="1"/>
    <x:row r="852" s="71" customFormat="1" ht="15.75" customHeight="1"/>
    <x:row r="853" s="71" customFormat="1" ht="15.75" customHeight="1"/>
    <x:row r="854" s="71" customFormat="1" ht="15.75" customHeight="1"/>
    <x:row r="855" s="71" customFormat="1" ht="15.75" customHeight="1"/>
    <x:row r="856" s="71" customFormat="1" ht="15.75" customHeight="1"/>
    <x:row r="857" s="71" customFormat="1" ht="15.75" customHeight="1"/>
    <x:row r="858" s="71" customFormat="1" ht="15.75" customHeight="1"/>
    <x:row r="859" s="71" customFormat="1" ht="15.75" customHeight="1"/>
    <x:row r="860" s="71" customFormat="1" ht="15.75" customHeight="1"/>
    <x:row r="861" s="71" customFormat="1" ht="15.75" customHeight="1"/>
    <x:row r="862" s="71" customFormat="1" ht="15.75" customHeight="1"/>
    <x:row r="863" s="71" customFormat="1" ht="15.75" customHeight="1"/>
    <x:row r="864" s="71" customFormat="1" ht="15.75" customHeight="1"/>
    <x:row r="865" s="71" customFormat="1" ht="15.75" customHeight="1"/>
    <x:row r="866" s="71" customFormat="1" ht="15.75" customHeight="1"/>
    <x:row r="867" s="71" customFormat="1" ht="15.75" customHeight="1"/>
    <x:row r="868" s="71" customFormat="1" ht="15.75" customHeight="1"/>
    <x:row r="869" s="71" customFormat="1" ht="15.75" customHeight="1"/>
    <x:row r="870" s="71" customFormat="1" ht="15.75" customHeight="1"/>
    <x:row r="871" s="71" customFormat="1" ht="15.75" customHeight="1"/>
    <x:row r="872" s="71" customFormat="1" ht="15.75" customHeight="1"/>
    <x:row r="873" s="71" customFormat="1" ht="15.75" customHeight="1"/>
    <x:row r="874" s="71" customFormat="1" ht="15.75" customHeight="1"/>
    <x:row r="875" s="71" customFormat="1" ht="15.75" customHeight="1"/>
    <x:row r="876" s="71" customFormat="1" ht="15.75" customHeight="1"/>
    <x:row r="877" s="71" customFormat="1" ht="15.75" customHeight="1"/>
    <x:row r="878" s="71" customFormat="1" ht="15.75" customHeight="1"/>
    <x:row r="879" s="71" customFormat="1" ht="15.75" customHeight="1"/>
    <x:row r="880" s="71" customFormat="1" ht="15.75" customHeight="1"/>
    <x:row r="881" s="71" customFormat="1" ht="15.75" customHeight="1"/>
    <x:row r="882" s="71" customFormat="1" ht="15.75" customHeight="1"/>
    <x:row r="883" s="71" customFormat="1" ht="15.75" customHeight="1"/>
    <x:row r="884" s="71" customFormat="1" ht="15.75" customHeight="1"/>
    <x:row r="885" s="71" customFormat="1" ht="15.75" customHeight="1"/>
    <x:row r="886" s="71" customFormat="1" ht="15.75" customHeight="1"/>
    <x:row r="887" s="71" customFormat="1" ht="15.75" customHeight="1"/>
    <x:row r="888" s="71" customFormat="1" ht="15.75" customHeight="1"/>
    <x:row r="889" s="71" customFormat="1" ht="15.75" customHeight="1"/>
    <x:row r="890" s="71" customFormat="1" ht="15.75" customHeight="1"/>
    <x:row r="891" s="71" customFormat="1" ht="15.75" customHeight="1"/>
    <x:row r="892" s="71" customFormat="1" ht="15.75" customHeight="1"/>
    <x:row r="893" s="71" customFormat="1" ht="15.75" customHeight="1"/>
    <x:row r="894" s="71" customFormat="1" ht="15.75" customHeight="1"/>
    <x:row r="895" s="71" customFormat="1" ht="15.75" customHeight="1"/>
    <x:row r="896" s="71" customFormat="1" ht="15.75" customHeight="1"/>
    <x:row r="897" s="71" customFormat="1" ht="15.75" customHeight="1"/>
    <x:row r="898" s="71" customFormat="1" ht="15.75" customHeight="1"/>
    <x:row r="899" s="71" customFormat="1" ht="15.75" customHeight="1"/>
    <x:row r="900" s="71" customFormat="1" ht="15.75" customHeight="1"/>
    <x:row r="901" s="71" customFormat="1" ht="15.75" customHeight="1"/>
    <x:row r="902" s="71" customFormat="1" ht="15.75" customHeight="1"/>
    <x:row r="903" s="71" customFormat="1" ht="15.75" customHeight="1"/>
    <x:row r="904" s="71" customFormat="1" ht="15.75" customHeight="1"/>
    <x:row r="905" s="71" customFormat="1" ht="15.75" customHeight="1"/>
    <x:row r="906" s="71" customFormat="1" ht="15.75" customHeight="1"/>
    <x:row r="907" s="71" customFormat="1" ht="15.75" customHeight="1"/>
    <x:row r="908" s="71" customFormat="1" ht="15.75" customHeight="1"/>
    <x:row r="909" s="71" customFormat="1" ht="15.75" customHeight="1"/>
    <x:row r="910" s="71" customFormat="1" ht="15.75" customHeight="1"/>
    <x:row r="911" s="71" customFormat="1" ht="15.75" customHeight="1"/>
    <x:row r="912" s="71" customFormat="1" ht="15.75" customHeight="1"/>
    <x:row r="913" s="71" customFormat="1" ht="15.75" customHeight="1"/>
    <x:row r="914" s="71" customFormat="1" ht="15.75" customHeight="1"/>
    <x:row r="915" s="71" customFormat="1" ht="15.75" customHeight="1"/>
    <x:row r="916" s="71" customFormat="1" ht="15.75" customHeight="1"/>
    <x:row r="917" s="71" customFormat="1" ht="15.75" customHeight="1"/>
    <x:row r="918" s="71" customFormat="1" ht="15.75" customHeight="1"/>
    <x:row r="919" s="71" customFormat="1" ht="15.75" customHeight="1"/>
    <x:row r="920" s="71" customFormat="1" ht="15.75" customHeight="1"/>
    <x:row r="921" s="71" customFormat="1" ht="15.75" customHeight="1"/>
    <x:row r="922" s="71" customFormat="1" ht="15.75" customHeight="1"/>
    <x:row r="923" s="71" customFormat="1" ht="15.75" customHeight="1"/>
    <x:row r="924" s="71" customFormat="1" ht="15.75" customHeight="1"/>
    <x:row r="925" s="71" customFormat="1" ht="15.75" customHeight="1"/>
    <x:row r="926" s="71" customFormat="1" ht="15.75" customHeight="1"/>
    <x:row r="927" s="71" customFormat="1" ht="15.75" customHeight="1"/>
    <x:row r="928" s="71" customFormat="1" ht="15.75" customHeight="1"/>
    <x:row r="929" s="71" customFormat="1" ht="15.75" customHeight="1"/>
    <x:row r="930" s="71" customFormat="1" ht="15.75" customHeight="1"/>
    <x:row r="931" s="71" customFormat="1" ht="15.75" customHeight="1"/>
    <x:row r="932" s="71" customFormat="1" ht="15.75" customHeight="1"/>
    <x:row r="933" s="71" customFormat="1" ht="15.75" customHeight="1"/>
    <x:row r="934" s="71" customFormat="1" ht="15.75" customHeight="1"/>
    <x:row r="935" s="71" customFormat="1" ht="15.75" customHeight="1"/>
    <x:row r="936" s="71" customFormat="1" ht="15.75" customHeight="1"/>
    <x:row r="937" s="71" customFormat="1" ht="15.75" customHeight="1"/>
    <x:row r="938" s="71" customFormat="1" ht="15.75" customHeight="1"/>
    <x:row r="939" s="71" customFormat="1" ht="15.75" customHeight="1"/>
    <x:row r="940" s="71" customFormat="1" ht="15.75" customHeight="1"/>
    <x:row r="941" s="71" customFormat="1" ht="15.75" customHeight="1"/>
    <x:row r="942" s="71" customFormat="1" ht="15.75" customHeight="1"/>
    <x:row r="943" s="71" customFormat="1" ht="15.75" customHeight="1"/>
    <x:row r="944" s="71" customFormat="1" ht="15.75" customHeight="1"/>
    <x:row r="945" s="71" customFormat="1" ht="15.75" customHeight="1"/>
    <x:row r="946" s="71" customFormat="1" ht="15.75" customHeight="1"/>
    <x:row r="947" s="71" customFormat="1" ht="15.75" customHeight="1"/>
    <x:row r="948" s="71" customFormat="1" ht="15.75" customHeight="1"/>
    <x:row r="949" s="71" customFormat="1" ht="15.75" customHeight="1"/>
    <x:row r="950" s="71" customFormat="1" ht="15.75" customHeight="1"/>
    <x:row r="951" s="71" customFormat="1" ht="15.75" customHeight="1"/>
    <x:row r="952" s="71" customFormat="1" ht="15.75" customHeight="1"/>
    <x:row r="953" s="71" customFormat="1" ht="15.75" customHeight="1"/>
    <x:row r="954" s="71" customFormat="1" ht="15.75" customHeight="1"/>
    <x:row r="955" s="71" customFormat="1" ht="15.75" customHeight="1"/>
    <x:row r="956" s="71" customFormat="1" ht="15.75" customHeight="1"/>
    <x:row r="957" s="71" customFormat="1" ht="15.75" customHeight="1"/>
    <x:row r="958" s="71" customFormat="1" ht="15.75" customHeight="1"/>
    <x:row r="959" s="71" customFormat="1" ht="15.75" customHeight="1"/>
    <x:row r="960" s="71" customFormat="1" ht="15.75" customHeight="1"/>
    <x:row r="961" s="71" customFormat="1" ht="15.75" customHeight="1"/>
    <x:row r="962" s="71" customFormat="1" ht="15.75" customHeight="1"/>
    <x:row r="963" s="71" customFormat="1" ht="15.75" customHeight="1"/>
    <x:row r="964" s="71" customFormat="1" ht="15.75" customHeight="1"/>
    <x:row r="965" s="71" customFormat="1" ht="15.75" customHeight="1"/>
    <x:row r="966" s="71" customFormat="1" ht="15.75" customHeight="1"/>
    <x:row r="967" s="71" customFormat="1" ht="15.75" customHeight="1"/>
    <x:row r="968" s="71" customFormat="1" ht="15.75" customHeight="1"/>
    <x:row r="969" s="71" customFormat="1" ht="15.75" customHeight="1"/>
    <x:row r="970" s="71" customFormat="1" ht="15.75" customHeight="1"/>
    <x:row r="971" s="71" customFormat="1" ht="15.75" customHeight="1"/>
    <x:row r="972" s="71" customFormat="1" ht="15.75" customHeight="1"/>
    <x:row r="973" s="71" customFormat="1" ht="15.75" customHeight="1"/>
    <x:row r="974" s="71" customFormat="1" ht="15.75" customHeight="1"/>
    <x:row r="975" s="71" customFormat="1" ht="15.75" customHeight="1"/>
    <x:row r="976" s="71" customFormat="1" ht="15.75" customHeight="1"/>
    <x:row r="977" s="71" customFormat="1" ht="15.75" customHeight="1"/>
    <x:row r="978" s="71" customFormat="1" ht="15.75" customHeight="1"/>
    <x:row r="979" s="71" customFormat="1" ht="15.75" customHeight="1"/>
    <x:row r="980" s="71" customFormat="1" ht="15.75" customHeight="1"/>
    <x:row r="981" s="71" customFormat="1" ht="15.75" customHeight="1"/>
    <x:row r="982" s="71" customFormat="1" ht="15.75" customHeight="1"/>
    <x:row r="983" s="71" customFormat="1" ht="15.75" customHeight="1"/>
    <x:row r="984" s="71" customFormat="1" ht="15.75" customHeight="1"/>
    <x:row r="985" s="71" customFormat="1" ht="15.75" customHeight="1"/>
    <x:row r="986" s="71" customFormat="1" ht="15.75" customHeight="1"/>
    <x:row r="987" s="71" customFormat="1" ht="15.75" customHeight="1"/>
    <x:row r="988" s="71" customFormat="1" ht="15.75" customHeight="1"/>
    <x:row r="989" s="71" customFormat="1" ht="15.75" customHeight="1"/>
    <x:row r="990" s="71" customFormat="1" ht="15.75" customHeight="1"/>
    <x:row r="991" s="71" customFormat="1" ht="15.75" customHeight="1"/>
    <x:row r="992" s="71" customFormat="1" ht="15.75" customHeight="1"/>
    <x:row r="993" s="71" customFormat="1" ht="15.75" customHeight="1"/>
    <x:row r="994" s="71" customFormat="1" ht="15.75" customHeight="1"/>
    <x:row r="995" s="71" customFormat="1" ht="15.75" customHeight="1"/>
    <x:row r="996" s="71" customFormat="1" ht="15.75" customHeight="1"/>
    <x:row r="997" s="71" customFormat="1" ht="15.75" customHeight="1"/>
    <x:row r="998" s="71" customFormat="1" ht="15.75" customHeight="1"/>
    <x:row r="999" s="71" customFormat="1" ht="15.75" customHeight="1"/>
    <x:row r="1000" s="71" customFormat="1" ht="15.75" customHeight="1"/>
    <x:row r="1001" s="71" customFormat="1" ht="15.75" customHeight="1"/>
    <x:row r="1002" s="71" customFormat="1" ht="15.75" customHeight="1"/>
    <x:row r="1003" s="71" customFormat="1" ht="15.75" customHeight="1"/>
  </x:sheetData>
  <x:mergeCells>
    <x:mergeCell ref="A45:E45"/>
    <x:mergeCell ref="B47:E47"/>
    <x:mergeCell ref="B48:E48"/>
  </x:mergeCells>
  <x:dataValidations count="1">
    <x:dataValidation type="list" allowBlank="1" showDropDown="0" showInputMessage="0" showErrorMessage="1" sqref="A3">
      <x:formula1>#REF!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4.44140625" defaultRowHeight="14.399999618530273"/>
  <x:cols>
    <x:col min="2" max="2" width="26" style="71" customWidth="1"/>
    <x:col min="5" max="5" width="18.88671875" style="71" customWidth="1"/>
  </x:cols>
  <x:sheetData>
    <x:row r="1" s="71" customFormat="1" ht="14.399999618530273" customHeight="1">
      <x:c r="A1" s="45" t="inlineStr">
        <x:is>
          <x:t xml:space="preserve">Emp ID</x:t>
        </x:is>
      </x:c>
      <x:c r="B1" s="46" t="inlineStr">
        <x:is>
          <x:t xml:space="preserve">Employee's Name</x:t>
        </x:is>
      </x:c>
      <x:c r="C1" s="47" t="inlineStr">
        <x:is>
          <x:t xml:space="preserve">Site Location</x:t>
        </x:is>
      </x:c>
      <x:c r="D1" s="89" t="n">
        <x:v>45947</x:v>
      </x:c>
      <x:c r="E1" s="90" t="n">
        <x:v>45961</x:v>
      </x:c>
      <x:c r="F1" s="50" t="inlineStr">
        <x:is>
          <x:t xml:space="preserve">Total SH</x:t>
        </x:is>
      </x:c>
    </x:row>
    <x:row r="2" s="71" customFormat="1" ht="14.399999618530273" customHeight="1">
      <x:c r="A2" s="51" t="inlineStr">
        <x:is>
          <x:t xml:space="preserve">01100240</x:t>
        </x:is>
      </x:c>
      <x:c r="B2" t="inlineStr">
        <x:is>
          <x:t xml:space="preserve">Abegail Mandras</x:t>
        </x:is>
      </x:c>
      <x:c r="C2" t="inlineStr">
        <x:is>
          <x:t xml:space="preserve">Lapu-Lapu City</x:t>
        </x:is>
      </x:c>
      <x:c r="D2">
        <x:f>'Total Hours - Summary'!D2</x:f>
        <x:v>8</x:v>
      </x:c>
      <x:c r="E2">
        <x:f>'Total Hours - Summary'!R2</x:f>
        <x:v>4</x:v>
      </x:c>
      <x:c r="F2" s="52">
        <x:f>SUM(D2:E2)</x:f>
        <x:v>12</x:v>
      </x:c>
    </x:row>
    <x:row r="3" s="71" customFormat="1" ht="14.399999618530273" customHeight="1">
      <x:c r="A3" s="51" t="inlineStr">
        <x:is>
          <x:t xml:space="preserve">01100277</x:t>
        </x:is>
      </x:c>
      <x:c r="B3" t="inlineStr">
        <x:is>
          <x:t xml:space="preserve">Adrian Lawat</x:t>
        </x:is>
      </x:c>
      <x:c r="C3" t="inlineStr">
        <x:is>
          <x:t xml:space="preserve">Cebu City</x:t>
        </x:is>
      </x:c>
      <x:c r="D3">
        <x:f>'Total Hours - Summary'!D3</x:f>
        <x:v>8</x:v>
      </x:c>
      <x:c r="E3">
        <x:f>'Total Hours - Summary'!R3</x:f>
        <x:v>8</x:v>
      </x:c>
      <x:c r="F3" s="52">
        <x:f>SUM(D3:E3)</x:f>
        <x:v>16</x:v>
      </x:c>
    </x:row>
    <x:row r="4" s="71" customFormat="1" ht="14.399999618530273" customHeight="1">
      <x:c r="A4" s="51" t="inlineStr">
        <x:is>
          <x:t xml:space="preserve">02100100</x:t>
        </x:is>
      </x:c>
      <x:c r="B4" t="inlineStr">
        <x:is>
          <x:t xml:space="preserve">Aillen Joy Largo</x:t>
        </x:is>
      </x:c>
      <x:c r="C4" t="inlineStr">
        <x:is>
          <x:t xml:space="preserve">Talisay City</x:t>
        </x:is>
      </x:c>
      <x:c r="D4">
        <x:f>'Total Hours - Summary'!D4</x:f>
        <x:v>6</x:v>
      </x:c>
      <x:c r="E4">
        <x:f>'Total Hours - Summary'!R4</x:f>
        <x:v>4</x:v>
      </x:c>
      <x:c r="F4" s="52">
        <x:f>SUM(D4:E4)</x:f>
        <x:v>10</x:v>
      </x:c>
    </x:row>
    <x:row r="5" s="71" customFormat="1" ht="14.399999618530273" customHeight="1">
      <x:c r="A5" s="51" t="inlineStr">
        <x:is>
          <x:t xml:space="preserve">01100328</x:t>
        </x:is>
      </x:c>
      <x:c r="B5" t="inlineStr">
        <x:is>
          <x:t xml:space="preserve">Al Mario Bahala</x:t>
        </x:is>
      </x:c>
      <x:c r="C5" t="inlineStr">
        <x:is>
          <x:t xml:space="preserve">Mandaue City</x:t>
        </x:is>
      </x:c>
      <x:c r="D5">
        <x:f>'Total Hours - Summary'!D5</x:f>
        <x:v>0</x:v>
      </x:c>
      <x:c r="E5">
        <x:f>'Total Hours - Summary'!R5</x:f>
        <x:v>0</x:v>
      </x:c>
      <x:c r="F5" s="52">
        <x:f>SUM(D5:E5)</x:f>
        <x:v>0</x:v>
      </x:c>
    </x:row>
    <x:row r="6" s="71" customFormat="1" ht="14.399999618530273" customHeight="1">
      <x:c r="A6" s="51" t="inlineStr">
        <x:is>
          <x:t xml:space="preserve">02100334</x:t>
        </x:is>
      </x:c>
      <x:c r="B6" t="inlineStr">
        <x:is>
          <x:t xml:space="preserve">Alvin Lozada</x:t>
        </x:is>
      </x:c>
      <x:c r="C6" t="inlineStr">
        <x:is>
          <x:t xml:space="preserve">Mandaue City</x:t>
        </x:is>
      </x:c>
      <x:c r="D6">
        <x:f>'Total Hours - Summary'!D6</x:f>
        <x:v>8</x:v>
      </x:c>
      <x:c r="E6">
        <x:f>'Total Hours - Summary'!R6</x:f>
        <x:v>0</x:v>
      </x:c>
      <x:c r="F6" s="52">
        <x:f>SUM(D6:E6)</x:f>
        <x:v>8</x:v>
      </x:c>
    </x:row>
    <x:row r="7" s="71" customFormat="1" ht="14.399999618530273" customHeight="1">
      <x:c r="A7" s="51" t="inlineStr">
        <x:is>
          <x:t xml:space="preserve">01100101</x:t>
        </x:is>
      </x:c>
      <x:c r="B7" t="inlineStr">
        <x:is>
          <x:t xml:space="preserve">Andrea Ceniza</x:t>
        </x:is>
      </x:c>
      <x:c r="C7" t="inlineStr">
        <x:is>
          <x:t xml:space="preserve">Talisay City</x:t>
        </x:is>
      </x:c>
      <x:c r="D7">
        <x:f>'Total Hours - Summary'!D7</x:f>
        <x:v>4</x:v>
      </x:c>
      <x:c r="E7">
        <x:f>'Total Hours - Summary'!R7</x:f>
        <x:v>8</x:v>
      </x:c>
      <x:c r="F7" s="52">
        <x:f>SUM(D7:E7)</x:f>
        <x:v>12</x:v>
      </x:c>
    </x:row>
    <x:row r="8" s="71" customFormat="1" ht="14.399999618530273" customHeight="1">
      <x:c r="A8" s="51" t="inlineStr">
        <x:is>
          <x:t xml:space="preserve">02100103</x:t>
        </x:is>
      </x:c>
      <x:c r="B8" t="inlineStr">
        <x:is>
          <x:t xml:space="preserve">Angelica Paligsa</x:t>
        </x:is>
      </x:c>
      <x:c r="C8" t="inlineStr">
        <x:is>
          <x:t xml:space="preserve">Mandaue City</x:t>
        </x:is>
      </x:c>
      <x:c r="D8">
        <x:f>'Total Hours - Summary'!D8</x:f>
        <x:v>8</x:v>
      </x:c>
      <x:c r="E8">
        <x:f>'Total Hours - Summary'!R8</x:f>
        <x:v>4</x:v>
      </x:c>
      <x:c r="F8" s="52">
        <x:f>SUM(D8:E8)</x:f>
        <x:v>12</x:v>
      </x:c>
    </x:row>
    <x:row r="9" s="71" customFormat="1" ht="14.399999618530273" customHeight="1">
      <x:c r="A9" s="51" t="inlineStr">
        <x:is>
          <x:t xml:space="preserve">02100104</x:t>
        </x:is>
      </x:c>
      <x:c r="B9" t="inlineStr">
        <x:is>
          <x:t xml:space="preserve">Ann Lou Minguito</x:t>
        </x:is>
      </x:c>
      <x:c r="C9" t="inlineStr">
        <x:is>
          <x:t xml:space="preserve">Mandaue City</x:t>
        </x:is>
      </x:c>
      <x:c r="D9">
        <x:f>'Total Hours - Summary'!D9</x:f>
        <x:v>8</x:v>
      </x:c>
      <x:c r="E9">
        <x:f>'Total Hours - Summary'!R9</x:f>
        <x:v>4</x:v>
      </x:c>
      <x:c r="F9" s="52">
        <x:f>SUM(D9:E9)</x:f>
        <x:v>12</x:v>
      </x:c>
    </x:row>
    <x:row r="10" s="71" customFormat="1" ht="14.399999618530273" customHeight="1">
      <x:c r="A10" s="51" t="inlineStr">
        <x:is>
          <x:t xml:space="preserve">02200105</x:t>
        </x:is>
      </x:c>
      <x:c r="B10" t="inlineStr">
        <x:is>
          <x:t xml:space="preserve">Anna Marie Tabares</x:t>
        </x:is>
      </x:c>
      <x:c r="C10" t="inlineStr">
        <x:is>
          <x:t xml:space="preserve">Talisay City</x:t>
        </x:is>
      </x:c>
      <x:c r="D10">
        <x:f>'Total Hours - Summary'!D10</x:f>
        <x:v>0</x:v>
      </x:c>
      <x:c r="E10">
        <x:f>'Total Hours - Summary'!R10</x:f>
        <x:v>6</x:v>
      </x:c>
      <x:c r="F10" s="52">
        <x:f>SUM(D10:E10)</x:f>
        <x:v>6</x:v>
      </x:c>
    </x:row>
    <x:row r="11" s="71" customFormat="1" ht="14.399999618530273" customHeight="1">
      <x:c r="A11" s="51" t="inlineStr">
        <x:is>
          <x:t xml:space="preserve">02100106</x:t>
        </x:is>
      </x:c>
      <x:c r="B11" t="inlineStr">
        <x:is>
          <x:t xml:space="preserve">Anna Mica Ella Punongbayan</x:t>
        </x:is>
      </x:c>
      <x:c r="C11" t="inlineStr">
        <x:is>
          <x:t xml:space="preserve">Lapu-Lapu City</x:t>
        </x:is>
      </x:c>
      <x:c r="D11">
        <x:f>'Total Hours - Summary'!D11</x:f>
        <x:v>4</x:v>
      </x:c>
      <x:c r="E11">
        <x:f>'Total Hours - Summary'!R11</x:f>
        <x:v>0</x:v>
      </x:c>
      <x:c r="F11" s="52">
        <x:f>SUM(D11:E11)</x:f>
        <x:v>4</x:v>
      </x:c>
    </x:row>
    <x:row r="12" s="71" customFormat="1" ht="14.399999618530273" customHeight="1">
      <x:c r="A12" s="51" t="inlineStr">
        <x:is>
          <x:t xml:space="preserve">02100227</x:t>
        </x:is>
      </x:c>
      <x:c r="B12" t="inlineStr">
        <x:is>
          <x:t xml:space="preserve">April Jane Elnar</x:t>
        </x:is>
      </x:c>
      <x:c r="C12" t="inlineStr">
        <x:is>
          <x:t xml:space="preserve">Cebu City</x:t>
        </x:is>
      </x:c>
      <x:c r="D12">
        <x:f>'Total Hours - Summary'!D12</x:f>
        <x:v>6</x:v>
      </x:c>
      <x:c r="E12">
        <x:f>'Total Hours - Summary'!R12</x:f>
        <x:v>8</x:v>
      </x:c>
      <x:c r="F12" s="52">
        <x:f>SUM(D12:E12)</x:f>
        <x:v>14</x:v>
      </x:c>
    </x:row>
    <x:row r="13" s="71" customFormat="1" ht="14.399999618530273" customHeight="1">
      <x:c r="A13" s="51" t="inlineStr">
        <x:is>
          <x:t xml:space="preserve">02100194</x:t>
        </x:is>
      </x:c>
      <x:c r="B13" t="inlineStr">
        <x:is>
          <x:t xml:space="preserve">April Sanchez</x:t>
        </x:is>
      </x:c>
      <x:c r="C13" t="inlineStr">
        <x:is>
          <x:t xml:space="preserve">Lapu-Lapu City</x:t>
        </x:is>
      </x:c>
      <x:c r="D13">
        <x:f>'Total Hours - Summary'!D13</x:f>
        <x:v>4</x:v>
      </x:c>
      <x:c r="E13">
        <x:f>'Total Hours - Summary'!R13</x:f>
        <x:v>0</x:v>
      </x:c>
      <x:c r="F13" s="52">
        <x:f>SUM(D13:E13)</x:f>
        <x:v>4</x:v>
      </x:c>
    </x:row>
    <x:row r="14" s="71" customFormat="1" ht="14.399999618530273" customHeight="1">
      <x:c r="A14" s="51" t="inlineStr">
        <x:is>
          <x:t xml:space="preserve">01100218</x:t>
        </x:is>
      </x:c>
      <x:c r="B14" t="inlineStr">
        <x:is>
          <x:t xml:space="preserve">Aquilyn Dayan A. Adlit</x:t>
        </x:is>
      </x:c>
      <x:c r="C14" t="inlineStr">
        <x:is>
          <x:t xml:space="preserve">Cebu City</x:t>
        </x:is>
      </x:c>
      <x:c r="D14">
        <x:f>'Total Hours - Summary'!D14</x:f>
        <x:v>8</x:v>
      </x:c>
      <x:c r="E14">
        <x:f>'Total Hours - Summary'!R14</x:f>
        <x:v>8</x:v>
      </x:c>
      <x:c r="F14" s="52">
        <x:f>SUM(D14:E14)</x:f>
        <x:v>16</x:v>
      </x:c>
    </x:row>
    <x:row r="15" s="71" customFormat="1" ht="14.399999618530273" customHeight="1">
      <x:c r="A15" s="51" t="inlineStr">
        <x:is>
          <x:t xml:space="preserve">02100327</x:t>
        </x:is>
      </x:c>
      <x:c r="B15" t="inlineStr">
        <x:is>
          <x:t xml:space="preserve">Ardeth James Ortega</x:t>
        </x:is>
      </x:c>
      <x:c r="C15" t="inlineStr">
        <x:is>
          <x:t xml:space="preserve">Cebu City</x:t>
        </x:is>
      </x:c>
      <x:c r="D15">
        <x:f>'Total Hours - Summary'!D15</x:f>
        <x:v>8</x:v>
      </x:c>
      <x:c r="E15">
        <x:f>'Total Hours - Summary'!R15</x:f>
        <x:v>0</x:v>
      </x:c>
      <x:c r="F15" s="52">
        <x:f>SUM(D15:E15)</x:f>
        <x:v>8</x:v>
      </x:c>
    </x:row>
    <x:row r="16" s="71" customFormat="1" ht="14.399999618530273" customHeight="1">
      <x:c r="A16" s="51" t="inlineStr">
        <x:is>
          <x:t xml:space="preserve">02100107</x:t>
        </x:is>
      </x:c>
      <x:c r="B16" t="inlineStr">
        <x:is>
          <x:t xml:space="preserve">Brenda Mae T. Bacurnay</x:t>
        </x:is>
      </x:c>
      <x:c r="C16" t="inlineStr">
        <x:is>
          <x:t xml:space="preserve">Talisay City</x:t>
        </x:is>
      </x:c>
      <x:c r="D16">
        <x:f>'Total Hours - Summary'!D16</x:f>
        <x:v>8</x:v>
      </x:c>
      <x:c r="E16">
        <x:f>'Total Hours - Summary'!R16</x:f>
        <x:v>6</x:v>
      </x:c>
      <x:c r="F16" s="52">
        <x:f>SUM(D16:E16)</x:f>
        <x:v>14</x:v>
      </x:c>
    </x:row>
    <x:row r="17" s="71" customFormat="1" ht="14.399999618530273" customHeight="1">
      <x:c r="A17" s="51" t="inlineStr">
        <x:is>
          <x:t xml:space="preserve">01100271</x:t>
        </x:is>
      </x:c>
      <x:c r="B17" t="inlineStr">
        <x:is>
          <x:t xml:space="preserve">Buenagen Bagundol</x:t>
        </x:is>
      </x:c>
      <x:c r="C17" t="inlineStr">
        <x:is>
          <x:t xml:space="preserve">Mandaue City</x:t>
        </x:is>
      </x:c>
      <x:c r="D17">
        <x:f>'Total Hours - Summary'!D17</x:f>
        <x:v>8</x:v>
      </x:c>
      <x:c r="E17">
        <x:f>'Total Hours - Summary'!R17</x:f>
        <x:v>8</x:v>
      </x:c>
      <x:c r="F17" s="52">
        <x:f>SUM(D17:E17)</x:f>
        <x:v>16</x:v>
      </x:c>
    </x:row>
    <x:row r="18" s="71" customFormat="1" ht="14.399999618530273" customHeight="1">
      <x:c r="A18" s="51" t="inlineStr">
        <x:is>
          <x:t xml:space="preserve">01100108</x:t>
        </x:is>
      </x:c>
      <x:c r="B18" t="inlineStr">
        <x:is>
          <x:t xml:space="preserve">Camela Torrate</x:t>
        </x:is>
      </x:c>
      <x:c r="C18" t="inlineStr">
        <x:is>
          <x:t xml:space="preserve">Lapu-Lapu City</x:t>
        </x:is>
      </x:c>
      <x:c r="D18">
        <x:f>'Total Hours - Summary'!D18</x:f>
        <x:v>6</x:v>
      </x:c>
      <x:c r="E18">
        <x:f>'Total Hours - Summary'!R18</x:f>
        <x:v>8</x:v>
      </x:c>
      <x:c r="F18" s="52">
        <x:f>SUM(D18:E18)</x:f>
        <x:v>14</x:v>
      </x:c>
    </x:row>
    <x:row r="19" s="71" customFormat="1" ht="14.399999618530273" customHeight="1">
      <x:c r="A19" s="51" t="inlineStr">
        <x:is>
          <x:t xml:space="preserve">02100109</x:t>
        </x:is>
      </x:c>
      <x:c r="B19" t="inlineStr">
        <x:is>
          <x:t xml:space="preserve">Candice Kate Velasco</x:t>
        </x:is>
      </x:c>
      <x:c r="C19" t="inlineStr">
        <x:is>
          <x:t xml:space="preserve">Mandaue City</x:t>
        </x:is>
      </x:c>
      <x:c r="D19">
        <x:f>'Total Hours - Summary'!D19</x:f>
        <x:v>8</x:v>
      </x:c>
      <x:c r="E19">
        <x:f>'Total Hours - Summary'!R19</x:f>
        <x:v>8</x:v>
      </x:c>
      <x:c r="F19" s="52">
        <x:f>SUM(D19:E19)</x:f>
        <x:v>16</x:v>
      </x:c>
    </x:row>
    <x:row r="20" s="71" customFormat="1" ht="14.399999618530273" customHeight="1">
      <x:c r="A20" s="51" t="inlineStr">
        <x:is>
          <x:t xml:space="preserve">02100294</x:t>
        </x:is>
      </x:c>
      <x:c r="B20" t="inlineStr">
        <x:is>
          <x:t xml:space="preserve">Carlo John Rubio</x:t>
        </x:is>
      </x:c>
      <x:c r="C20" t="inlineStr">
        <x:is>
          <x:t xml:space="preserve">Talisay City</x:t>
        </x:is>
      </x:c>
      <x:c r="D20">
        <x:f>'Total Hours - Summary'!D20</x:f>
        <x:v>0</x:v>
      </x:c>
      <x:c r="E20">
        <x:f>'Total Hours - Summary'!R20</x:f>
        <x:v>8</x:v>
      </x:c>
      <x:c r="F20" s="52">
        <x:f>SUM(D20:E20)</x:f>
        <x:v>8</x:v>
      </x:c>
    </x:row>
    <x:row r="21" s="71" customFormat="1" ht="14.399999618530273" customHeight="1">
      <x:c r="A21" s="51" t="inlineStr">
        <x:is>
          <x:t xml:space="preserve">01100270</x:t>
        </x:is>
      </x:c>
      <x:c r="B21" t="inlineStr">
        <x:is>
          <x:t xml:space="preserve">Catherine Vergara</x:t>
        </x:is>
      </x:c>
      <x:c r="C21" t="inlineStr">
        <x:is>
          <x:t xml:space="preserve">Lapu-Lapu City</x:t>
        </x:is>
      </x:c>
      <x:c r="D21">
        <x:f>'Total Hours - Summary'!D21</x:f>
        <x:v>4</x:v>
      </x:c>
      <x:c r="E21">
        <x:f>'Total Hours - Summary'!R21</x:f>
        <x:v>8</x:v>
      </x:c>
      <x:c r="F21" s="52">
        <x:f>SUM(D21:E21)</x:f>
        <x:v>12</x:v>
      </x:c>
    </x:row>
    <x:row r="22" s="71" customFormat="1" ht="14.399999618530273" customHeight="1">
      <x:c r="A22" s="51" t="inlineStr">
        <x:is>
          <x:t xml:space="preserve">01100220</x:t>
        </x:is>
      </x:c>
      <x:c r="B22" t="inlineStr">
        <x:is>
          <x:t xml:space="preserve">Christian Pagobo</x:t>
        </x:is>
      </x:c>
      <x:c r="C22" t="inlineStr">
        <x:is>
          <x:t xml:space="preserve">Lapu-Lapu City</x:t>
        </x:is>
      </x:c>
      <x:c r="D22">
        <x:f>'Total Hours - Summary'!D22</x:f>
        <x:v>8</x:v>
      </x:c>
      <x:c r="E22">
        <x:f>'Total Hours - Summary'!R22</x:f>
        <x:v>0</x:v>
      </x:c>
      <x:c r="F22" s="52">
        <x:f>SUM(D22:E22)</x:f>
        <x:v>8</x:v>
      </x:c>
    </x:row>
    <x:row r="23" s="71" customFormat="1" ht="14.399999618530273" customHeight="1">
      <x:c r="A23" s="51" t="inlineStr">
        <x:is>
          <x:t xml:space="preserve">01100112</x:t>
        </x:is>
      </x:c>
      <x:c r="B23" t="inlineStr">
        <x:is>
          <x:t xml:space="preserve">Crislyn Cuizon</x:t>
        </x:is>
      </x:c>
      <x:c r="C23" t="inlineStr">
        <x:is>
          <x:t xml:space="preserve">Lapu-Lapu City</x:t>
        </x:is>
      </x:c>
      <x:c r="D23">
        <x:f>'Total Hours - Summary'!D23</x:f>
        <x:v>8</x:v>
      </x:c>
      <x:c r="E23">
        <x:f>'Total Hours - Summary'!R23</x:f>
        <x:v>8</x:v>
      </x:c>
      <x:c r="F23" s="52">
        <x:f>SUM(D23:E23)</x:f>
        <x:v>16</x:v>
      </x:c>
    </x:row>
    <x:row r="24" s="71" customFormat="1" ht="14.399999618530273" customHeight="1">
      <x:c r="A24" s="51" t="inlineStr">
        <x:is>
          <x:t xml:space="preserve">01100329</x:t>
        </x:is>
      </x:c>
      <x:c r="B24" t="inlineStr">
        <x:is>
          <x:t xml:space="preserve">Cyriline Vergara</x:t>
        </x:is>
      </x:c>
      <x:c r="C24" t="inlineStr">
        <x:is>
          <x:t xml:space="preserve">Talisay City</x:t>
        </x:is>
      </x:c>
      <x:c r="D24">
        <x:f>'Total Hours - Summary'!D24</x:f>
        <x:v>0</x:v>
      </x:c>
      <x:c r="E24">
        <x:f>'Total Hours - Summary'!R24</x:f>
        <x:v>0</x:v>
      </x:c>
      <x:c r="F24" s="52">
        <x:f>SUM(D24:E24)</x:f>
        <x:v>0</x:v>
      </x:c>
    </x:row>
    <x:row r="25" s="71" customFormat="1" ht="14.399999618530273" customHeight="1">
      <x:c r="A25" s="51" t="inlineStr">
        <x:is>
          <x:t xml:space="preserve">01100113</x:t>
        </x:is>
      </x:c>
      <x:c r="B25" t="inlineStr">
        <x:is>
          <x:t xml:space="preserve">Demie Marie Medalle</x:t>
        </x:is>
      </x:c>
      <x:c r="C25" t="inlineStr">
        <x:is>
          <x:t xml:space="preserve">Lapu-Lapu City</x:t>
        </x:is>
      </x:c>
      <x:c r="D25">
        <x:f>'Total Hours - Summary'!D25</x:f>
        <x:v>6</x:v>
      </x:c>
      <x:c r="E25">
        <x:f>'Total Hours - Summary'!R25</x:f>
        <x:v>8</x:v>
      </x:c>
      <x:c r="F25" s="52">
        <x:f>SUM(D25:E25)</x:f>
        <x:v>14</x:v>
      </x:c>
    </x:row>
    <x:row r="26" s="71" customFormat="1" ht="14.399999618530273" customHeight="1">
      <x:c r="A26" s="51" t="inlineStr">
        <x:is>
          <x:t xml:space="preserve">01100115</x:t>
        </x:is>
      </x:c>
      <x:c r="B26" t="inlineStr">
        <x:is>
          <x:t xml:space="preserve">Dharlene G. Bendanillo</x:t>
        </x:is>
      </x:c>
      <x:c r="C26" t="inlineStr">
        <x:is>
          <x:t xml:space="preserve">Talisay City</x:t>
        </x:is>
      </x:c>
      <x:c r="D26">
        <x:f>'Total Hours - Summary'!D26</x:f>
        <x:v>6</x:v>
      </x:c>
      <x:c r="E26">
        <x:f>'Total Hours - Summary'!R26</x:f>
        <x:v>6</x:v>
      </x:c>
      <x:c r="F26" s="52">
        <x:f>SUM(D26:E26)</x:f>
        <x:v>12</x:v>
      </x:c>
    </x:row>
    <x:row r="27" s="71" customFormat="1" ht="14.399999618530273" customHeight="1">
      <x:c r="A27" s="51" t="inlineStr">
        <x:is>
          <x:t xml:space="preserve">01100116</x:t>
        </x:is>
      </x:c>
      <x:c r="B27" t="inlineStr">
        <x:is>
          <x:t xml:space="preserve">Donald Bacanaya</x:t>
        </x:is>
      </x:c>
      <x:c r="C27" t="inlineStr">
        <x:is>
          <x:t xml:space="preserve">Talisay City</x:t>
        </x:is>
      </x:c>
      <x:c r="D27">
        <x:f>'Total Hours - Summary'!D27</x:f>
        <x:v>8</x:v>
      </x:c>
      <x:c r="E27">
        <x:f>'Total Hours - Summary'!R27</x:f>
        <x:v>6</x:v>
      </x:c>
      <x:c r="F27" s="52">
        <x:f>SUM(D27:E27)</x:f>
        <x:v>14</x:v>
      </x:c>
    </x:row>
    <x:row r="28" s="71" customFormat="1" ht="14.399999618530273" customHeight="1">
      <x:c r="A28" s="51" t="inlineStr">
        <x:is>
          <x:t xml:space="preserve">01100253</x:t>
        </x:is>
      </x:c>
      <x:c r="B28" t="inlineStr">
        <x:is>
          <x:t xml:space="preserve">Ericka Dorreen Amores - Abejero</x:t>
        </x:is>
      </x:c>
      <x:c r="C28" t="inlineStr">
        <x:is>
          <x:t xml:space="preserve">Mandaue City</x:t>
        </x:is>
      </x:c>
      <x:c r="D28">
        <x:f>'Total Hours - Summary'!D28</x:f>
        <x:v>8</x:v>
      </x:c>
      <x:c r="E28">
        <x:f>'Total Hours - Summary'!R28</x:f>
        <x:v>4</x:v>
      </x:c>
      <x:c r="F28" s="52">
        <x:f>SUM(D28:E28)</x:f>
        <x:v>12</x:v>
      </x:c>
    </x:row>
    <x:row r="29" s="71" customFormat="1" ht="14.399999618530273" customHeight="1">
      <x:c r="A29" s="51" t="inlineStr">
        <x:is>
          <x:t xml:space="preserve">02100117</x:t>
        </x:is>
      </x:c>
      <x:c r="B29" t="inlineStr">
        <x:is>
          <x:t xml:space="preserve">Ernesto F. Roquin Jr.</x:t>
        </x:is>
      </x:c>
      <x:c r="C29" t="inlineStr">
        <x:is>
          <x:t xml:space="preserve">Talisay City</x:t>
        </x:is>
      </x:c>
      <x:c r="D29">
        <x:f>'Total Hours - Summary'!D29</x:f>
        <x:v>6</x:v>
      </x:c>
      <x:c r="E29">
        <x:f>'Total Hours - Summary'!R29</x:f>
        <x:v>8</x:v>
      </x:c>
      <x:c r="F29" s="52">
        <x:f>SUM(D29:E29)</x:f>
        <x:v>14</x:v>
      </x:c>
    </x:row>
    <x:row r="30" s="71" customFormat="1" ht="14.399999618530273" customHeight="1">
      <x:c r="A30" s="51" t="inlineStr">
        <x:is>
          <x:t xml:space="preserve">01100118</x:t>
        </x:is>
      </x:c>
      <x:c r="B30" t="inlineStr">
        <x:is>
          <x:t xml:space="preserve">Fame Diez</x:t>
        </x:is>
      </x:c>
      <x:c r="C30" t="inlineStr">
        <x:is>
          <x:t xml:space="preserve">Talisay City</x:t>
        </x:is>
      </x:c>
      <x:c r="D30">
        <x:f>'Total Hours - Summary'!D30</x:f>
        <x:v>6</x:v>
      </x:c>
      <x:c r="E30">
        <x:f>'Total Hours - Summary'!R30</x:f>
        <x:v>8</x:v>
      </x:c>
      <x:c r="F30" s="52">
        <x:f>SUM(D30:E30)</x:f>
        <x:v>14</x:v>
      </x:c>
    </x:row>
    <x:row r="31" s="71" customFormat="1" ht="14.399999618530273" customHeight="1">
      <x:c r="A31" s="51" t="inlineStr">
        <x:is>
          <x:t xml:space="preserve">01100221</x:t>
        </x:is>
      </x:c>
      <x:c r="B31" t="inlineStr">
        <x:is>
          <x:t xml:space="preserve">Farrah Jean Vildosola</x:t>
        </x:is>
      </x:c>
      <x:c r="C31" t="inlineStr">
        <x:is>
          <x:t xml:space="preserve">Cebu City</x:t>
        </x:is>
      </x:c>
      <x:c r="D31">
        <x:f>'Total Hours - Summary'!D31</x:f>
        <x:v>8</x:v>
      </x:c>
      <x:c r="E31">
        <x:f>'Total Hours - Summary'!R31</x:f>
        <x:v>6</x:v>
      </x:c>
      <x:c r="F31" s="52">
        <x:f>SUM(D31:E31)</x:f>
        <x:v>14</x:v>
      </x:c>
    </x:row>
    <x:row r="32" s="71" customFormat="1" ht="14.399999618530273" customHeight="1">
      <x:c r="A32" s="51" t="inlineStr">
        <x:is>
          <x:t xml:space="preserve">02100119</x:t>
        </x:is>
      </x:c>
      <x:c r="B32" t="inlineStr">
        <x:is>
          <x:t xml:space="preserve">Ferreh Jane Vilos</x:t>
        </x:is>
      </x:c>
      <x:c r="C32" t="inlineStr">
        <x:is>
          <x:t xml:space="preserve">Lapu-Lapu City</x:t>
        </x:is>
      </x:c>
      <x:c r="D32">
        <x:f>'Total Hours - Summary'!D32</x:f>
        <x:v>8</x:v>
      </x:c>
      <x:c r="E32">
        <x:f>'Total Hours - Summary'!R32</x:f>
        <x:v>4</x:v>
      </x:c>
      <x:c r="F32" s="52">
        <x:f>SUM(D32:E32)</x:f>
        <x:v>12</x:v>
      </x:c>
    </x:row>
    <x:row r="33" s="71" customFormat="1" ht="14.399999618530273" customHeight="1">
      <x:c r="A33" s="51" t="inlineStr">
        <x:is>
          <x:t xml:space="preserve">02100120</x:t>
        </x:is>
      </x:c>
      <x:c r="B33" t="inlineStr">
        <x:is>
          <x:t xml:space="preserve">Flint Kaynon Balmadres</x:t>
        </x:is>
      </x:c>
      <x:c r="C33" t="inlineStr">
        <x:is>
          <x:t xml:space="preserve">Talisay City</x:t>
        </x:is>
      </x:c>
      <x:c r="D33">
        <x:f>'Total Hours - Summary'!D33</x:f>
        <x:v>0</x:v>
      </x:c>
      <x:c r="E33">
        <x:f>'Total Hours - Summary'!R33</x:f>
        <x:v>0</x:v>
      </x:c>
      <x:c r="F33" s="52">
        <x:f>SUM(D33:E33)</x:f>
        <x:v>0</x:v>
      </x:c>
    </x:row>
    <x:row r="34" s="71" customFormat="1" ht="14.399999618530273" customHeight="1">
      <x:c r="A34" s="51" t="inlineStr">
        <x:is>
          <x:t xml:space="preserve">01100217</x:t>
        </x:is>
      </x:c>
      <x:c r="B34" t="inlineStr">
        <x:is>
          <x:t xml:space="preserve">Franklyn Jay Talisic</x:t>
        </x:is>
      </x:c>
      <x:c r="C34" t="inlineStr">
        <x:is>
          <x:t xml:space="preserve">Cebu City</x:t>
        </x:is>
      </x:c>
      <x:c r="D34">
        <x:f>'Total Hours - Summary'!D34</x:f>
        <x:v>8</x:v>
      </x:c>
      <x:c r="E34">
        <x:f>'Total Hours - Summary'!R34</x:f>
        <x:v>8</x:v>
      </x:c>
      <x:c r="F34" s="52">
        <x:f>SUM(D34:E34)</x:f>
        <x:v>16</x:v>
      </x:c>
    </x:row>
    <x:row r="35" s="71" customFormat="1" ht="14.399999618530273" customHeight="1">
      <x:c r="A35" s="51" t="inlineStr">
        <x:is>
          <x:t xml:space="preserve">02100121</x:t>
        </x:is>
      </x:c>
      <x:c r="B35" t="inlineStr">
        <x:is>
          <x:t xml:space="preserve">Fritzyl D. Lorico</x:t>
        </x:is>
      </x:c>
      <x:c r="C35" t="inlineStr">
        <x:is>
          <x:t xml:space="preserve">Mandaue City</x:t>
        </x:is>
      </x:c>
      <x:c r="D35">
        <x:f>'Total Hours - Summary'!D35</x:f>
        <x:v>6</x:v>
      </x:c>
      <x:c r="E35">
        <x:f>'Total Hours - Summary'!R35</x:f>
        <x:v>8</x:v>
      </x:c>
      <x:c r="F35" s="52">
        <x:f>SUM(D35:E35)</x:f>
        <x:v>14</x:v>
      </x:c>
    </x:row>
    <x:row r="36" s="71" customFormat="1" ht="14.399999618530273" customHeight="1">
      <x:c r="A36" s="51" t="inlineStr">
        <x:is>
          <x:t xml:space="preserve">02100295</x:t>
        </x:is>
      </x:c>
      <x:c r="B36" t="inlineStr">
        <x:is>
          <x:t xml:space="preserve">Genil Silva</x:t>
        </x:is>
      </x:c>
      <x:c r="C36" t="inlineStr">
        <x:is>
          <x:t xml:space="preserve">Cebu City</x:t>
        </x:is>
      </x:c>
      <x:c r="D36">
        <x:f>'Total Hours - Summary'!D36</x:f>
        <x:v>8</x:v>
      </x:c>
      <x:c r="E36">
        <x:f>'Total Hours - Summary'!R36</x:f>
        <x:v>0</x:v>
      </x:c>
      <x:c r="F36" s="52">
        <x:f>SUM(D36:E36)</x:f>
        <x:v>8</x:v>
      </x:c>
    </x:row>
    <x:row r="37" s="71" customFormat="1" ht="14.399999618530273" customHeight="1">
      <x:c r="A37" s="51" t="inlineStr">
        <x:is>
          <x:t xml:space="preserve">01100123</x:t>
        </x:is>
      </x:c>
      <x:c r="B37" t="inlineStr">
        <x:is>
          <x:t xml:space="preserve">Gerra Rose Fajardo</x:t>
        </x:is>
      </x:c>
      <x:c r="C37" t="inlineStr">
        <x:is>
          <x:t xml:space="preserve">Cebu City</x:t>
        </x:is>
      </x:c>
      <x:c r="D37">
        <x:f>'Total Hours - Summary'!D37</x:f>
        <x:v>0</x:v>
      </x:c>
      <x:c r="E37">
        <x:f>'Total Hours - Summary'!R37</x:f>
        <x:v>8</x:v>
      </x:c>
      <x:c r="F37" s="52">
        <x:f>SUM(D37:E37)</x:f>
        <x:v>8</x:v>
      </x:c>
    </x:row>
    <x:row r="38" s="71" customFormat="1" ht="14.399999618530273" customHeight="1">
      <x:c r="A38" s="51" t="inlineStr">
        <x:is>
          <x:t xml:space="preserve">01100222</x:t>
        </x:is>
      </x:c>
      <x:c r="B38" t="inlineStr">
        <x:is>
          <x:t xml:space="preserve">Glenn Oplado</x:t>
        </x:is>
      </x:c>
      <x:c r="C38" t="inlineStr">
        <x:is>
          <x:t xml:space="preserve">Mandaue City</x:t>
        </x:is>
      </x:c>
      <x:c r="D38">
        <x:f>'Total Hours - Summary'!D38</x:f>
        <x:v>6</x:v>
      </x:c>
      <x:c r="E38">
        <x:f>'Total Hours - Summary'!R38</x:f>
        <x:v>8</x:v>
      </x:c>
      <x:c r="F38" s="52">
        <x:f>SUM(D38:E38)</x:f>
        <x:v>14</x:v>
      </x:c>
    </x:row>
    <x:row r="39" s="71" customFormat="1" ht="14.399999618530273" customHeight="1">
      <x:c r="A39" s="51" t="inlineStr">
        <x:is>
          <x:t xml:space="preserve">02100127</x:t>
        </x:is>
      </x:c>
      <x:c r="B39" t="inlineStr">
        <x:is>
          <x:t xml:space="preserve">Hannah Jane Villegas Nocete</x:t>
        </x:is>
      </x:c>
      <x:c r="C39" t="inlineStr">
        <x:is>
          <x:t xml:space="preserve">Talisay City</x:t>
        </x:is>
      </x:c>
      <x:c r="D39">
        <x:f>'Total Hours - Summary'!D39</x:f>
        <x:v>8</x:v>
      </x:c>
      <x:c r="E39">
        <x:f>'Total Hours - Summary'!R39</x:f>
        <x:v>8</x:v>
      </x:c>
      <x:c r="F39" s="52">
        <x:f>SUM(D39:E39)</x:f>
        <x:v>16</x:v>
      </x:c>
    </x:row>
    <x:row r="40" s="71" customFormat="1" ht="14.399999618530273" customHeight="1">
      <x:c r="A40" s="51" t="inlineStr">
        <x:is>
          <x:t xml:space="preserve">02100128</x:t>
        </x:is>
      </x:c>
      <x:c r="B40" t="inlineStr">
        <x:is>
          <x:t xml:space="preserve">Harlley D. Alos</x:t>
        </x:is>
      </x:c>
      <x:c r="C40" t="inlineStr">
        <x:is>
          <x:t xml:space="preserve">Mandaue City</x:t>
        </x:is>
      </x:c>
      <x:c r="D40">
        <x:f>'Total Hours - Summary'!D40</x:f>
        <x:v>4</x:v>
      </x:c>
      <x:c r="E40">
        <x:f>'Total Hours - Summary'!R40</x:f>
        <x:v>8</x:v>
      </x:c>
      <x:c r="F40" s="52">
        <x:f>SUM(D40:E40)</x:f>
        <x:v>12</x:v>
      </x:c>
    </x:row>
    <x:row r="41" s="71" customFormat="1" ht="14.399999618530273" customHeight="1">
      <x:c r="A41" s="51" t="inlineStr">
        <x:is>
          <x:t xml:space="preserve">02100202</x:t>
        </x:is>
      </x:c>
      <x:c r="B41" t="inlineStr">
        <x:is>
          <x:t xml:space="preserve">Heide Camuta</x:t>
        </x:is>
      </x:c>
      <x:c r="C41" t="inlineStr">
        <x:is>
          <x:t xml:space="preserve">Lapu-Lapu City</x:t>
        </x:is>
      </x:c>
      <x:c r="D41">
        <x:f>'Total Hours - Summary'!D41</x:f>
        <x:v>8</x:v>
      </x:c>
      <x:c r="E41">
        <x:f>'Total Hours - Summary'!R41</x:f>
        <x:v>6</x:v>
      </x:c>
      <x:c r="F41" s="52">
        <x:f>SUM(D41:E41)</x:f>
        <x:v>14</x:v>
      </x:c>
    </x:row>
    <x:row r="42" s="71" customFormat="1" ht="14.399999618530273" customHeight="1">
      <x:c r="A42" s="51" t="inlineStr">
        <x:is>
          <x:t xml:space="preserve">01100129</x:t>
        </x:is>
      </x:c>
      <x:c r="B42" t="inlineStr">
        <x:is>
          <x:t xml:space="preserve">Ingrid Irene Garcia</x:t>
        </x:is>
      </x:c>
      <x:c r="C42" t="inlineStr">
        <x:is>
          <x:t xml:space="preserve">Mandaue City</x:t>
        </x:is>
      </x:c>
      <x:c r="D42">
        <x:f>'Total Hours - Summary'!D42</x:f>
        <x:v>4</x:v>
      </x:c>
      <x:c r="E42">
        <x:f>'Total Hours - Summary'!R42</x:f>
        <x:v>6</x:v>
      </x:c>
      <x:c r="F42" s="52">
        <x:f>SUM(D42:E42)</x:f>
        <x:v>10</x:v>
      </x:c>
    </x:row>
    <x:row r="43" s="71" customFormat="1" ht="14.399999618530273" customHeight="1">
      <x:c r="A43" s="51" t="inlineStr">
        <x:is>
          <x:t xml:space="preserve">01100273</x:t>
        </x:is>
      </x:c>
      <x:c r="B43" t="inlineStr">
        <x:is>
          <x:t xml:space="preserve">Ira Niña Casiño</x:t>
        </x:is>
      </x:c>
      <x:c r="C43" t="inlineStr">
        <x:is>
          <x:t xml:space="preserve">Lapu-Lapu City</x:t>
        </x:is>
      </x:c>
      <x:c r="D43">
        <x:f>'Total Hours - Summary'!D43</x:f>
        <x:v>8</x:v>
      </x:c>
      <x:c r="E43">
        <x:f>'Total Hours - Summary'!R43</x:f>
        <x:v>8</x:v>
      </x:c>
      <x:c r="F43" s="52">
        <x:f>SUM(D43:E43)</x:f>
        <x:v>16</x:v>
      </x:c>
    </x:row>
    <x:row r="44" s="71" customFormat="1" ht="14.399999618530273" customHeight="1">
      <x:c r="A44" s="51" t="inlineStr">
        <x:is>
          <x:t xml:space="preserve">02100130</x:t>
        </x:is>
      </x:c>
      <x:c r="B44" t="inlineStr">
        <x:is>
          <x:t xml:space="preserve">Jafferson Sojor</x:t>
        </x:is>
      </x:c>
      <x:c r="C44" t="inlineStr">
        <x:is>
          <x:t xml:space="preserve">Mandaue City</x:t>
        </x:is>
      </x:c>
      <x:c r="D44">
        <x:f>'Total Hours - Summary'!D44</x:f>
        <x:v>8</x:v>
      </x:c>
      <x:c r="E44">
        <x:f>'Total Hours - Summary'!R44</x:f>
        <x:v>6</x:v>
      </x:c>
      <x:c r="F44" s="52">
        <x:f>SUM(D44:E44)</x:f>
        <x:v>14</x:v>
      </x:c>
    </x:row>
    <x:row r="45" s="71" customFormat="1" ht="14.399999618530273" customHeight="1">
      <x:c r="A45" s="51" t="inlineStr">
        <x:is>
          <x:t xml:space="preserve">01100131</x:t>
        </x:is>
      </x:c>
      <x:c r="B45" t="inlineStr">
        <x:is>
          <x:t xml:space="preserve">James Anthony Adolfo</x:t>
        </x:is>
      </x:c>
      <x:c r="C45" t="inlineStr">
        <x:is>
          <x:t xml:space="preserve">Mandaue City</x:t>
        </x:is>
      </x:c>
      <x:c r="D45">
        <x:f>'Total Hours - Summary'!D45</x:f>
        <x:v>4</x:v>
      </x:c>
      <x:c r="E45">
        <x:f>'Total Hours - Summary'!R45</x:f>
        <x:v>8</x:v>
      </x:c>
      <x:c r="F45" s="52">
        <x:f>SUM(D45:E45)</x:f>
        <x:v>12</x:v>
      </x:c>
    </x:row>
    <x:row r="46" s="71" customFormat="1" ht="14.399999618530273" customHeight="1">
      <x:c r="A46" s="51" t="inlineStr">
        <x:is>
          <x:t xml:space="preserve">02100132</x:t>
        </x:is>
      </x:c>
      <x:c r="B46" t="inlineStr">
        <x:is>
          <x:t xml:space="preserve">James Mitchell E. Monares</x:t>
        </x:is>
      </x:c>
      <x:c r="C46" t="inlineStr">
        <x:is>
          <x:t xml:space="preserve">Cebu City</x:t>
        </x:is>
      </x:c>
      <x:c r="D46">
        <x:f>'Total Hours - Summary'!D46</x:f>
        <x:v>0</x:v>
      </x:c>
      <x:c r="E46">
        <x:f>'Total Hours - Summary'!R46</x:f>
        <x:v>4</x:v>
      </x:c>
      <x:c r="F46" s="52">
        <x:f>SUM(D46:E46)</x:f>
        <x:v>4</x:v>
      </x:c>
    </x:row>
    <x:row r="47" s="71" customFormat="1" ht="14.399999618530273" customHeight="1">
      <x:c r="A47" s="51" t="inlineStr">
        <x:is>
          <x:t xml:space="preserve">02100133</x:t>
        </x:is>
      </x:c>
      <x:c r="B47" t="inlineStr">
        <x:is>
          <x:t xml:space="preserve">Janely Nayon</x:t>
        </x:is>
      </x:c>
      <x:c r="C47" t="inlineStr">
        <x:is>
          <x:t xml:space="preserve">Cebu City</x:t>
        </x:is>
      </x:c>
      <x:c r="D47">
        <x:f>'Total Hours - Summary'!D47</x:f>
        <x:v>0</x:v>
      </x:c>
      <x:c r="E47">
        <x:f>'Total Hours - Summary'!R47</x:f>
        <x:v>8</x:v>
      </x:c>
      <x:c r="F47" s="52">
        <x:f>SUM(D47:E47)</x:f>
        <x:v>8</x:v>
      </x:c>
    </x:row>
    <x:row r="48" s="71" customFormat="1" ht="14.399999618530273" customHeight="1">
      <x:c r="A48" s="51" t="inlineStr">
        <x:is>
          <x:t xml:space="preserve">01200134</x:t>
        </x:is>
      </x:c>
      <x:c r="B48" t="inlineStr">
        <x:is>
          <x:t xml:space="preserve">Jarren Legaspino</x:t>
        </x:is>
      </x:c>
      <x:c r="C48" t="inlineStr">
        <x:is>
          <x:t xml:space="preserve">Talisay City</x:t>
        </x:is>
      </x:c>
      <x:c r="D48">
        <x:f>'Total Hours - Summary'!D48</x:f>
        <x:v>8</x:v>
      </x:c>
      <x:c r="E48">
        <x:f>'Total Hours - Summary'!R48</x:f>
        <x:v>4</x:v>
      </x:c>
      <x:c r="F48" s="52">
        <x:f>SUM(D48:E48)</x:f>
        <x:v>12</x:v>
      </x:c>
    </x:row>
    <x:row r="49" s="71" customFormat="1" ht="14.399999618530273" customHeight="1">
      <x:c r="A49" s="51" t="inlineStr">
        <x:is>
          <x:t xml:space="preserve">01100254</x:t>
        </x:is>
      </x:c>
      <x:c r="B49" t="inlineStr">
        <x:is>
          <x:t xml:space="preserve">Jay Michael Decepolo</x:t>
        </x:is>
      </x:c>
      <x:c r="C49" t="inlineStr">
        <x:is>
          <x:t xml:space="preserve">Talisay City</x:t>
        </x:is>
      </x:c>
      <x:c r="D49">
        <x:f>'Total Hours - Summary'!D49</x:f>
        <x:v>4</x:v>
      </x:c>
      <x:c r="E49">
        <x:f>'Total Hours - Summary'!R49</x:f>
        <x:v>8</x:v>
      </x:c>
      <x:c r="F49" s="52">
        <x:f>SUM(D49:E49)</x:f>
        <x:v>12</x:v>
      </x:c>
    </x:row>
    <x:row r="50" s="71" customFormat="1" ht="14.399999618530273" customHeight="1">
      <x:c r="A50" s="51" t="inlineStr">
        <x:is>
          <x:t xml:space="preserve">02100135</x:t>
        </x:is>
      </x:c>
      <x:c r="B50" t="inlineStr">
        <x:is>
          <x:t xml:space="preserve">Jay Pee Antinero</x:t>
        </x:is>
      </x:c>
      <x:c r="C50" t="inlineStr">
        <x:is>
          <x:t xml:space="preserve">Mandaue City</x:t>
        </x:is>
      </x:c>
      <x:c r="D50">
        <x:f>'Total Hours - Summary'!D50</x:f>
        <x:v>8</x:v>
      </x:c>
      <x:c r="E50">
        <x:f>'Total Hours - Summary'!R50</x:f>
        <x:v>8</x:v>
      </x:c>
      <x:c r="F50" s="52">
        <x:f>SUM(D50:E50)</x:f>
        <x:v>16</x:v>
      </x:c>
    </x:row>
    <x:row r="51" s="71" customFormat="1" ht="14.399999618530273" customHeight="1">
      <x:c r="A51" s="51" t="n"/>
      <x:c r="F51" s="52">
        <x:f>SUM(D51:E51)</x:f>
        <x:v>0</x:v>
      </x:c>
    </x:row>
    <x:row r="52" s="71" customFormat="1" ht="14.399999618530273" customHeight="1">
      <x:c r="A52" s="51" t="n"/>
      <x:c r="F52" s="52">
        <x:f>SUM(D52:E52)</x:f>
        <x:v>0</x:v>
      </x:c>
    </x:row>
    <x:row r="53" s="71" customFormat="1" ht="14.399999618530273" customHeight="1">
      <x:c r="A53" s="51" t="n"/>
      <x:c r="F53" s="52">
        <x:f>SUM(D53:E53)</x:f>
        <x:v>0</x:v>
      </x:c>
    </x:row>
    <x:row r="54" s="71" customFormat="1" ht="14.399999618530273" customHeight="1">
      <x:c r="A54" s="51" t="n"/>
      <x:c r="F54" s="52">
        <x:f>SUM(D54:E54)</x:f>
        <x:v>0</x:v>
      </x:c>
    </x:row>
    <x:row r="55" s="71" customFormat="1" ht="14.399999618530273" customHeight="1">
      <x:c r="A55" s="51" t="n"/>
      <x:c r="F55" s="52">
        <x:f>SUM(D55:E55)</x:f>
        <x:v>0</x:v>
      </x:c>
    </x:row>
    <x:row r="56" s="71" customFormat="1" ht="14.399999618530273" customHeight="1">
      <x:c r="A56" s="51" t="n"/>
      <x:c r="F56" s="52">
        <x:f>SUM(D56:E56)</x:f>
        <x:v>0</x:v>
      </x:c>
    </x:row>
    <x:row r="57" s="71" customFormat="1" ht="14.399999618530273" customHeight="1">
      <x:c r="A57" s="51" t="n"/>
      <x:c r="F57" s="52">
        <x:f>SUM(D57:E57)</x:f>
        <x:v>0</x:v>
      </x:c>
    </x:row>
    <x:row r="58" s="71" customFormat="1" ht="14.399999618530273" customHeight="1">
      <x:c r="A58" s="51" t="n"/>
      <x:c r="F58" s="52">
        <x:f>SUM(D58:E58)</x:f>
        <x:v>0</x:v>
      </x:c>
    </x:row>
    <x:row r="59" s="71" customFormat="1" ht="14.399999618530273" customHeight="1">
      <x:c r="A59" s="51" t="n"/>
      <x:c r="F59" s="52">
        <x:f>SUM(D59:E59)</x:f>
        <x:v>0</x:v>
      </x:c>
    </x:row>
    <x:row r="60" s="71" customFormat="1" ht="14.399999618530273" customHeight="1">
      <x:c r="A60" s="51" t="n"/>
      <x:c r="F60" s="52">
        <x:f>SUM(D60:E60)</x:f>
        <x:v>0</x:v>
      </x:c>
    </x:row>
    <x:row r="61" s="71" customFormat="1" ht="14.399999618530273" customHeight="1">
      <x:c r="A61" s="51" t="n"/>
      <x:c r="F61" s="52">
        <x:f>SUM(D61:E61)</x:f>
        <x:v>0</x:v>
      </x:c>
    </x:row>
    <x:row r="62" s="71" customFormat="1" ht="14.399999618530273" customHeight="1">
      <x:c r="A62" s="51" t="n"/>
      <x:c r="F62" s="52">
        <x:f>SUM(D62:E62)</x:f>
        <x:v>0</x:v>
      </x:c>
    </x:row>
    <x:row r="63" s="71" customFormat="1" ht="14.399999618530273" customHeight="1">
      <x:c r="A63" s="51" t="n"/>
      <x:c r="F63" s="52">
        <x:f>SUM(D63:E63)</x:f>
        <x:v>0</x:v>
      </x:c>
    </x:row>
    <x:row r="64" s="71" customFormat="1" ht="14.399999618530273" customHeight="1">
      <x:c r="A64" s="51" t="n"/>
      <x:c r="F64" s="52">
        <x:f>SUM(D64:E64)</x:f>
        <x:v>0</x:v>
      </x:c>
    </x:row>
    <x:row r="65" s="71" customFormat="1" ht="14.399999618530273" customHeight="1">
      <x:c r="A65" s="51" t="n"/>
      <x:c r="F65" s="52">
        <x:f>SUM(D65:E65)</x:f>
        <x:v>0</x:v>
      </x:c>
    </x:row>
    <x:row r="66" s="71" customFormat="1" ht="14.399999618530273" customHeight="1">
      <x:c r="A66" s="51" t="n"/>
      <x:c r="F66" s="52">
        <x:f>SUM(D66:E66)</x:f>
        <x:v>0</x:v>
      </x:c>
    </x:row>
    <x:row r="67" s="71" customFormat="1" ht="14.399999618530273" customHeight="1">
      <x:c r="A67" s="51" t="n"/>
      <x:c r="F67" s="52">
        <x:f>SUM(D67:E67)</x:f>
        <x:v>0</x:v>
      </x:c>
    </x:row>
    <x:row r="68" s="71" customFormat="1" ht="14.399999618530273" customHeight="1">
      <x:c r="A68" s="51" t="n"/>
      <x:c r="F68" s="52">
        <x:f>SUM(D68:E68)</x:f>
        <x:v>0</x:v>
      </x:c>
    </x:row>
    <x:row r="69" s="71" customFormat="1" ht="14.399999618530273" customHeight="1">
      <x:c r="A69" s="51" t="n"/>
      <x:c r="F69" s="52">
        <x:f>SUM(D69:E69)</x:f>
        <x:v>0</x:v>
      </x:c>
    </x:row>
    <x:row r="70" s="71" customFormat="1" ht="14.399999618530273" customHeight="1">
      <x:c r="A70" s="51" t="n"/>
      <x:c r="F70" s="52">
        <x:f>SUM(D70:E70)</x:f>
        <x:v>0</x:v>
      </x:c>
    </x:row>
    <x:row r="71" s="71" customFormat="1" ht="14.399999618530273" customHeight="1">
      <x:c r="A71" s="51" t="n"/>
      <x:c r="F71" s="52">
        <x:f>SUM(D71:E71)</x:f>
        <x:v>0</x:v>
      </x:c>
    </x:row>
    <x:row r="72" s="71" customFormat="1" ht="14.399999618530273" customHeight="1">
      <x:c r="A72" s="51" t="n"/>
      <x:c r="F72" s="52">
        <x:f>SUM(D72:E72)</x:f>
        <x:v>0</x:v>
      </x:c>
    </x:row>
    <x:row r="73" s="71" customFormat="1" ht="14.399999618530273" customHeight="1">
      <x:c r="A73" s="51" t="n"/>
      <x:c r="F73" s="52">
        <x:f>SUM(D73:E73)</x:f>
        <x:v>0</x:v>
      </x:c>
    </x:row>
    <x:row r="74" s="71" customFormat="1" ht="14.399999618530273" customHeight="1">
      <x:c r="A74" s="51" t="n"/>
      <x:c r="F74" s="52">
        <x:f>SUM(D74:E74)</x:f>
        <x:v>0</x:v>
      </x:c>
    </x:row>
    <x:row r="75" s="71" customFormat="1" ht="14.399999618530273" customHeight="1">
      <x:c r="A75" s="51" t="n"/>
      <x:c r="F75" s="52">
        <x:f>SUM(D75:E75)</x:f>
        <x:v>0</x:v>
      </x:c>
    </x:row>
    <x:row r="76" s="71" customFormat="1" ht="14.399999618530273" customHeight="1">
      <x:c r="A76" s="51" t="n"/>
      <x:c r="F76" s="52">
        <x:f>SUM(D76:E76)</x:f>
        <x:v>0</x:v>
      </x:c>
    </x:row>
    <x:row r="77" s="71" customFormat="1" ht="14.399999618530273" customHeight="1">
      <x:c r="A77" s="51" t="n"/>
      <x:c r="F77" s="52">
        <x:f>SUM(D77:E77)</x:f>
        <x:v>0</x:v>
      </x:c>
    </x:row>
    <x:row r="78" s="71" customFormat="1" ht="14.399999618530273" customHeight="1">
      <x:c r="A78" s="51" t="n"/>
      <x:c r="F78" s="52">
        <x:f>SUM(D78:E78)</x:f>
        <x:v>0</x:v>
      </x:c>
    </x:row>
    <x:row r="79" s="71" customFormat="1" ht="14.399999618530273" customHeight="1">
      <x:c r="A79" s="51" t="n"/>
      <x:c r="F79" s="52">
        <x:f>SUM(D79:E79)</x:f>
        <x:v>0</x:v>
      </x:c>
    </x:row>
    <x:row r="80" s="71" customFormat="1" ht="14.399999618530273" customHeight="1">
      <x:c r="A80" s="51" t="n"/>
      <x:c r="F80" s="52">
        <x:f>SUM(D80:E80)</x:f>
        <x:v>0</x:v>
      </x:c>
    </x:row>
    <x:row r="81" s="71" customFormat="1" ht="14.399999618530273" customHeight="1">
      <x:c r="A81" s="51" t="n"/>
      <x:c r="F81" s="52">
        <x:f>SUM(D81:E81)</x:f>
        <x:v>0</x:v>
      </x:c>
    </x:row>
    <x:row r="82" s="71" customFormat="1" ht="14.399999618530273" customHeight="1">
      <x:c r="A82" s="51" t="n"/>
      <x:c r="F82" s="52">
        <x:f>SUM(D82:E82)</x:f>
        <x:v>0</x:v>
      </x:c>
    </x:row>
    <x:row r="83" s="71" customFormat="1" ht="14.399999618530273" customHeight="1">
      <x:c r="A83" s="51" t="n"/>
      <x:c r="F83" s="52">
        <x:f>SUM(D83:E83)</x:f>
        <x:v>0</x:v>
      </x:c>
    </x:row>
    <x:row r="84" s="71" customFormat="1" ht="14.399999618530273" customHeight="1">
      <x:c r="A84" s="51" t="n"/>
      <x:c r="F84" s="52">
        <x:f>SUM(D84:E84)</x:f>
        <x:v>0</x:v>
      </x:c>
    </x:row>
    <x:row r="85" s="71" customFormat="1" ht="14.399999618530273" customHeight="1">
      <x:c r="A85" s="51" t="n"/>
      <x:c r="F85" s="52">
        <x:f>SUM(D85:E85)</x:f>
        <x:v>0</x:v>
      </x:c>
    </x:row>
    <x:row r="86" s="71" customFormat="1" ht="14.399999618530273" customHeight="1">
      <x:c r="A86" s="51" t="n"/>
      <x:c r="F86" s="52">
        <x:f>SUM(D86:E86)</x:f>
        <x:v>0</x:v>
      </x:c>
    </x:row>
    <x:row r="87" s="71" customFormat="1" ht="14.399999618530273" customHeight="1">
      <x:c r="A87" s="51" t="n"/>
      <x:c r="F87" s="52">
        <x:f>SUM(D87:E87)</x:f>
        <x:v>0</x:v>
      </x:c>
    </x:row>
    <x:row r="88" s="71" customFormat="1" ht="14.399999618530273" customHeight="1">
      <x:c r="A88" s="51" t="n"/>
      <x:c r="F88" s="52">
        <x:f>SUM(D88:E88)</x:f>
        <x:v>0</x:v>
      </x:c>
    </x:row>
    <x:row r="89" s="71" customFormat="1" ht="14.399999618530273" customHeight="1">
      <x:c r="A89" s="51" t="n"/>
      <x:c r="F89" s="52">
        <x:f>SUM(D89:E89)</x:f>
        <x:v>0</x:v>
      </x:c>
    </x:row>
    <x:row r="90" s="71" customFormat="1" ht="14.399999618530273" customHeight="1">
      <x:c r="A90" s="51" t="n"/>
      <x:c r="F90" s="52">
        <x:f>SUM(D90:E90)</x:f>
        <x:v>0</x:v>
      </x:c>
    </x:row>
    <x:row r="91" s="71" customFormat="1" ht="14.399999618530273" customHeight="1">
      <x:c r="A91" s="51" t="n"/>
      <x:c r="F91" s="52">
        <x:f>SUM(D91:E91)</x:f>
        <x:v>0</x:v>
      </x:c>
    </x:row>
    <x:row r="92" s="71" customFormat="1" ht="14.399999618530273" customHeight="1">
      <x:c r="A92" s="51" t="n"/>
      <x:c r="F92" s="52">
        <x:f>SUM(D92:E92)</x:f>
        <x:v>0</x:v>
      </x:c>
    </x:row>
    <x:row r="93" s="71" customFormat="1" ht="14.399999618530273" customHeight="1">
      <x:c r="A93" s="51" t="n"/>
      <x:c r="F93" s="52">
        <x:f>SUM(D93:E93)</x:f>
        <x:v>0</x:v>
      </x:c>
    </x:row>
    <x:row r="94" s="71" customFormat="1" ht="15" customHeight="1">
      <x:c r="A94" s="51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399999618530273"/>
  <x:cols>
    <x:col min="1" max="1" width="12" style="71" customWidth="1"/>
    <x:col min="2" max="2" width="31" style="71" customWidth="1"/>
    <x:col min="3" max="4" width="14" style="71" customWidth="1"/>
    <x:col min="5" max="6" width="20" style="71" customWidth="1"/>
    <x:col min="7" max="7" width="16" style="71" customWidth="1"/>
    <x:col min="8" max="8" width="20" style="71" customWidth="1"/>
    <x:col min="9" max="9" width="18" style="71" customWidth="1"/>
    <x:col min="10" max="11" width="20" style="71" customWidth="1"/>
    <x:col min="12" max="12" width="18" style="71" customWidth="1"/>
    <x:col min="13" max="13" width="20" style="71" customWidth="1"/>
    <x:col min="14" max="17" width="18" style="71" customWidth="1"/>
  </x:cols>
  <x:sheetData>
    <x:row r="1" s="71" customFormat="1" ht="42" customHeight="1">
      <x:c r="A1" s="65" t="inlineStr">
        <x:is>
          <x:t xml:space="preserve">Emp ID</x:t>
        </x:is>
      </x:c>
      <x:c r="B1" s="65" t="inlineStr">
        <x:is>
          <x:t xml:space="preserve">Employee Name</x:t>
        </x:is>
      </x:c>
      <x:c r="C1" s="66" t="inlineStr">
        <x:is>
          <x:t xml:space="preserve">SALARY</x:t>
        </x:is>
      </x:c>
      <x:c r="D1" s="66" t="inlineStr">
        <x:is>
          <x:t xml:space="preserve">HOLIDAY PAY</x:t>
        </x:is>
      </x:c>
      <x:c r="E1" s="66" t="inlineStr">
        <x:is>
          <x:t xml:space="preserve">NIGHT DIFFERENTIAL:</x:t>
        </x:is>
      </x:c>
      <x:c r="F1" s="66" t="inlineStr">
        <x:is>
          <x:t xml:space="preserve">SALARY ADJUSTMENT:</x:t>
        </x:is>
      </x:c>
      <x:c r="G1" s="66" t="inlineStr">
        <x:is>
          <x:t xml:space="preserve">FOOD ALLOWANCE</x:t>
        </x:is>
      </x:c>
      <x:c r="H1" s="66" t="inlineStr">
        <x:is>
          <x:t xml:space="preserve">TRANSPORTATION ALLOWANCE</x:t>
        </x:is>
      </x:c>
      <x:c r="I1" s="66" t="inlineStr">
        <x:is>
          <x:t xml:space="preserve">COMPLEXITY ALLOWANCE</x:t>
        </x:is>
      </x:c>
      <x:c r="J1" s="66" t="inlineStr">
        <x:is>
          <x:t xml:space="preserve">OBSERVATIONAL ALLOWANCE</x:t>
        </x:is>
      </x:c>
      <x:c r="K1" s="66" t="inlineStr">
        <x:is>
          <x:t xml:space="preserve">COMMUNICATIONS ALLOWANCE</x:t>
        </x:is>
      </x:c>
      <x:c r="L1" s="66" t="inlineStr">
        <x:is>
          <x:t xml:space="preserve">INTERNET ALLOWANCE</x:t>
        </x:is>
      </x:c>
      <x:c r="M1" s="66" t="inlineStr">
        <x:is>
          <x:t xml:space="preserve">RICE SUBSIDY ALLOWANCE</x:t>
        </x:is>
      </x:c>
      <x:c r="N1" s="66" t="inlineStr">
        <x:is>
          <x:t xml:space="preserve">CLOTHING ALLOWANCE</x:t>
        </x:is>
      </x:c>
      <x:c r="O1" s="66" t="inlineStr">
        <x:is>
          <x:t xml:space="preserve">LAUNDRY ALLOWANCE</x:t>
        </x:is>
      </x:c>
      <x:c r="P1" s="66" t="inlineStr">
        <x:is>
          <x:t xml:space="preserve">OTHER ALLOWANCE</x:t>
        </x:is>
      </x:c>
      <x:c r="Q1" s="66" t="inlineStr">
        <x:is>
          <x:t xml:space="preserve">TOTAL ADDITIONS</x:t>
        </x:is>
      </x:c>
    </x:row>
    <x:row r="2">
      <x:c r="A2" s="10" t="inlineStr">
        <x:is>
          <x:t xml:space="preserve">01100240</x:t>
        </x:is>
      </x:c>
      <x:c r="B2" s="10" t="inlineStr">
        <x:is>
          <x:t xml:space="preserve">Abegail Mandras</x:t>
        </x:is>
      </x:c>
      <x:c r="C2" s="91" t="n">
        <x:v>14500</x:v>
      </x:c>
      <x:c r="D2" s="79">
        <x:f>ROUND(('Special Holiday'!F2*($C2/22/8)*0.3),2)</x:f>
        <x:v>296.59</x:v>
      </x:c>
      <x:c r="E2" s="79">
        <x:f>ROUND(('Total Hours - Summary'!U2*($C2/22/8)*0.1),2)</x:f>
        <x:v>32.95</x:v>
      </x:c>
      <x:c r="F2" s="79">
        <x:f>ROUND('Total Hours - Summary'!V2,2)</x:f>
        <x:v>350</x:v>
      </x:c>
      <x:c r="G2" s="79" t="n">
        <x:v>1000</x:v>
      </x:c>
      <x:c r="H2" s="79" t="n">
        <x:v>500</x:v>
      </x:c>
      <x:c r="I2" s="79" t="n">
        <x:v>500</x:v>
      </x:c>
      <x:c r="J2" s="79" t="n">
        <x:v>500</x:v>
      </x:c>
      <x:c r="K2" s="79" t="n">
        <x:v>500</x:v>
      </x:c>
      <x:c r="L2" s="79" t="n">
        <x:v>500</x:v>
      </x:c>
      <x:c r="M2" s="79" t="n">
        <x:v>500</x:v>
      </x:c>
      <x:c r="N2" s="79" t="n">
        <x:v>500</x:v>
      </x:c>
      <x:c r="O2" s="79" t="n">
        <x:v>500</x:v>
      </x:c>
      <x:c r="P2" s="79" t="n">
        <x:v>0</x:v>
      </x:c>
      <x:c r="Q2" s="79">
        <x:f>SUM(D2:P2)</x:f>
        <x:v>5679.54</x:v>
      </x:c>
    </x:row>
    <x:row r="3">
      <x:c r="A3" s="10" t="inlineStr">
        <x:is>
          <x:t xml:space="preserve">01100277</x:t>
        </x:is>
      </x:c>
      <x:c r="B3" s="10" t="inlineStr">
        <x:is>
          <x:t xml:space="preserve">Adrian Lawat</x:t>
        </x:is>
      </x:c>
      <x:c r="C3" s="91" t="n">
        <x:v>15500</x:v>
      </x:c>
      <x:c r="D3" s="79">
        <x:f>ROUND(('Special Holiday'!F3*($C3/22/8)*0.3),2)</x:f>
        <x:v>422.73</x:v>
      </x:c>
      <x:c r="E3" s="79">
        <x:f>ROUND(('Total Hours - Summary'!U3*($C3/22/8)*0.1),2)</x:f>
        <x:v>211.36</x:v>
      </x:c>
      <x:c r="F3" s="79">
        <x:f>ROUND('Total Hours - Summary'!V3,2)</x:f>
        <x:v>350</x:v>
      </x:c>
      <x:c r="G3" s="79" t="n">
        <x:v>1000</x:v>
      </x:c>
      <x:c r="H3" s="79" t="n">
        <x:v>500</x:v>
      </x:c>
      <x:c r="I3" s="79" t="n">
        <x:v>500</x:v>
      </x:c>
      <x:c r="J3" s="79" t="n">
        <x:v>500</x:v>
      </x:c>
      <x:c r="K3" s="79" t="n">
        <x:v>500</x:v>
      </x:c>
      <x:c r="L3" s="79" t="n">
        <x:v>500</x:v>
      </x:c>
      <x:c r="M3" s="79" t="n">
        <x:v>500</x:v>
      </x:c>
      <x:c r="N3" s="79" t="n">
        <x:v>500</x:v>
      </x:c>
      <x:c r="O3" s="79" t="n">
        <x:v>500</x:v>
      </x:c>
      <x:c r="P3" s="79" t="n">
        <x:v>0</x:v>
      </x:c>
      <x:c r="Q3" s="79">
        <x:f>SUM(D3:P3)</x:f>
        <x:v>5984.09</x:v>
      </x:c>
    </x:row>
    <x:row r="4">
      <x:c r="A4" s="10" t="inlineStr">
        <x:is>
          <x:t xml:space="preserve">02100100</x:t>
        </x:is>
      </x:c>
      <x:c r="B4" s="10" t="inlineStr">
        <x:is>
          <x:t xml:space="preserve">Aillen Joy Largo</x:t>
        </x:is>
      </x:c>
      <x:c r="C4" s="91" t="n">
        <x:v>15000</x:v>
      </x:c>
      <x:c r="D4" s="79">
        <x:f>ROUND(('Special Holiday'!F4*($C4/22/8)*0.3),2)</x:f>
        <x:v>255.68</x:v>
      </x:c>
      <x:c r="E4" s="79">
        <x:f>ROUND(('Total Hours - Summary'!U4*($C4/22/8)*0.1),2)</x:f>
        <x:v>0</x:v>
      </x:c>
      <x:c r="F4" s="79">
        <x:f>ROUND('Total Hours - Summary'!V4,2)</x:f>
        <x:v>350</x:v>
      </x:c>
      <x:c r="G4" s="79" t="n">
        <x:v>1000</x:v>
      </x:c>
      <x:c r="H4" s="79" t="n">
        <x:v>500</x:v>
      </x:c>
      <x:c r="I4" s="79" t="n">
        <x:v>500</x:v>
      </x:c>
      <x:c r="J4" s="79" t="n">
        <x:v>500</x:v>
      </x:c>
      <x:c r="K4" s="79" t="n">
        <x:v>500</x:v>
      </x:c>
      <x:c r="L4" s="79" t="n">
        <x:v>500</x:v>
      </x:c>
      <x:c r="M4" s="79" t="n">
        <x:v>500</x:v>
      </x:c>
      <x:c r="N4" s="79" t="n">
        <x:v>500</x:v>
      </x:c>
      <x:c r="O4" s="79" t="n">
        <x:v>500</x:v>
      </x:c>
      <x:c r="P4" s="79" t="n">
        <x:v>0</x:v>
      </x:c>
      <x:c r="Q4" s="79">
        <x:f>SUM(D4:P4)</x:f>
        <x:v>5605.68</x:v>
      </x:c>
    </x:row>
    <x:row r="5">
      <x:c r="A5" s="10" t="inlineStr">
        <x:is>
          <x:t xml:space="preserve">01100328</x:t>
        </x:is>
      </x:c>
      <x:c r="B5" s="10" t="inlineStr">
        <x:is>
          <x:t xml:space="preserve">Al Mario Bahala</x:t>
        </x:is>
      </x:c>
      <x:c r="C5" s="91" t="n">
        <x:v>15000</x:v>
      </x:c>
      <x:c r="D5" s="79">
        <x:f>ROUND(('Special Holiday'!F5*($C5/22/8)*0.3),2)</x:f>
        <x:v>0</x:v>
      </x:c>
      <x:c r="E5" s="79">
        <x:f>ROUND(('Total Hours - Summary'!U5*($C5/22/8)*0.1),2)</x:f>
        <x:v>102.27</x:v>
      </x:c>
      <x:c r="F5" s="79">
        <x:f>ROUND('Total Hours - Summary'!V5,2)</x:f>
        <x:v>0</x:v>
      </x:c>
      <x:c r="G5" s="79" t="n">
        <x:v>1000</x:v>
      </x:c>
      <x:c r="H5" s="79" t="n">
        <x:v>500</x:v>
      </x:c>
      <x:c r="I5" s="79" t="n">
        <x:v>500</x:v>
      </x:c>
      <x:c r="J5" s="79" t="n">
        <x:v>500</x:v>
      </x:c>
      <x:c r="K5" s="79" t="n">
        <x:v>500</x:v>
      </x:c>
      <x:c r="L5" s="79" t="n">
        <x:v>500</x:v>
      </x:c>
      <x:c r="M5" s="79" t="n">
        <x:v>500</x:v>
      </x:c>
      <x:c r="N5" s="79" t="n">
        <x:v>500</x:v>
      </x:c>
      <x:c r="O5" s="79" t="n">
        <x:v>500</x:v>
      </x:c>
      <x:c r="P5" s="79" t="n">
        <x:v>0</x:v>
      </x:c>
      <x:c r="Q5" s="79">
        <x:f>SUM(D5:P5)</x:f>
        <x:v>5102.27</x:v>
      </x:c>
    </x:row>
    <x:row r="6">
      <x:c r="A6" s="10" t="inlineStr">
        <x:is>
          <x:t xml:space="preserve">02100334</x:t>
        </x:is>
      </x:c>
      <x:c r="B6" s="10" t="inlineStr">
        <x:is>
          <x:t xml:space="preserve">Alvin Lozada</x:t>
        </x:is>
      </x:c>
      <x:c r="C6" s="91" t="n">
        <x:v>14500</x:v>
      </x:c>
      <x:c r="D6" s="79">
        <x:f>ROUND(('Special Holiday'!F6*($C6/22/8)*0.3),2)</x:f>
        <x:v>197.73</x:v>
      </x:c>
      <x:c r="E6" s="79">
        <x:f>ROUND(('Total Hours - Summary'!U6*($C6/22/8)*0.1),2)</x:f>
        <x:v>131.82</x:v>
      </x:c>
      <x:c r="F6" s="79">
        <x:f>ROUND('Total Hours - Summary'!V6,2)</x:f>
        <x:v>0</x:v>
      </x:c>
      <x:c r="G6" s="79" t="n">
        <x:v>1000</x:v>
      </x:c>
      <x:c r="H6" s="79" t="n">
        <x:v>500</x:v>
      </x:c>
      <x:c r="I6" s="79" t="n">
        <x:v>500</x:v>
      </x:c>
      <x:c r="J6" s="79" t="n">
        <x:v>500</x:v>
      </x:c>
      <x:c r="K6" s="79" t="n">
        <x:v>500</x:v>
      </x:c>
      <x:c r="L6" s="79" t="n">
        <x:v>500</x:v>
      </x:c>
      <x:c r="M6" s="79" t="n">
        <x:v>500</x:v>
      </x:c>
      <x:c r="N6" s="79" t="n">
        <x:v>500</x:v>
      </x:c>
      <x:c r="O6" s="79" t="n">
        <x:v>500</x:v>
      </x:c>
      <x:c r="P6" s="79" t="n">
        <x:v>0</x:v>
      </x:c>
      <x:c r="Q6" s="79">
        <x:f>SUM(D6:P6)</x:f>
        <x:v>5329.55</x:v>
      </x:c>
    </x:row>
    <x:row r="7">
      <x:c r="A7" s="10" t="inlineStr">
        <x:is>
          <x:t xml:space="preserve">01100101</x:t>
        </x:is>
      </x:c>
      <x:c r="B7" s="10" t="inlineStr">
        <x:is>
          <x:t xml:space="preserve">Andrea Ceniza</x:t>
        </x:is>
      </x:c>
      <x:c r="C7" s="91" t="n">
        <x:v>17500</x:v>
      </x:c>
      <x:c r="D7" s="79">
        <x:f>ROUND(('Special Holiday'!F7*($C7/22/8)*0.3),2)</x:f>
        <x:v>357.95</x:v>
      </x:c>
      <x:c r="E7" s="79">
        <x:f>ROUND(('Total Hours - Summary'!U7*($C7/22/8)*0.1),2)</x:f>
        <x:v>39.77</x:v>
      </x:c>
      <x:c r="F7" s="79">
        <x:f>ROUND('Total Hours - Summary'!V7,2)</x:f>
        <x:v>0</x:v>
      </x:c>
      <x:c r="G7" s="79" t="n">
        <x:v>1000</x:v>
      </x:c>
      <x:c r="H7" s="79" t="n">
        <x:v>500</x:v>
      </x:c>
      <x:c r="I7" s="79" t="n">
        <x:v>500</x:v>
      </x:c>
      <x:c r="J7" s="79" t="n">
        <x:v>500</x:v>
      </x:c>
      <x:c r="K7" s="79" t="n">
        <x:v>500</x:v>
      </x:c>
      <x:c r="L7" s="79" t="n">
        <x:v>500</x:v>
      </x:c>
      <x:c r="M7" s="79" t="n">
        <x:v>500</x:v>
      </x:c>
      <x:c r="N7" s="79" t="n">
        <x:v>500</x:v>
      </x:c>
      <x:c r="O7" s="79" t="n">
        <x:v>500</x:v>
      </x:c>
      <x:c r="P7" s="79" t="n">
        <x:v>0</x:v>
      </x:c>
      <x:c r="Q7" s="79">
        <x:f>SUM(D7:P7)</x:f>
        <x:v>5397.72</x:v>
      </x:c>
    </x:row>
    <x:row r="8">
      <x:c r="A8" s="10" t="inlineStr">
        <x:is>
          <x:t xml:space="preserve">02100103</x:t>
        </x:is>
      </x:c>
      <x:c r="B8" s="10" t="inlineStr">
        <x:is>
          <x:t xml:space="preserve">Angelica Paligsa</x:t>
        </x:is>
      </x:c>
      <x:c r="C8" s="91" t="n">
        <x:v>21000</x:v>
      </x:c>
      <x:c r="D8" s="79">
        <x:f>ROUND(('Special Holiday'!F8*($C8/22/8)*0.3),2)</x:f>
        <x:v>429.55</x:v>
      </x:c>
      <x:c r="E8" s="79">
        <x:f>ROUND(('Total Hours - Summary'!U8*($C8/22/8)*0.1),2)</x:f>
        <x:v>190.91</x:v>
      </x:c>
      <x:c r="F8" s="79">
        <x:f>ROUND('Total Hours - Summary'!V8,2)</x:f>
        <x:v>500</x:v>
      </x:c>
      <x:c r="G8" s="79" t="n">
        <x:v>1000</x:v>
      </x:c>
      <x:c r="H8" s="79" t="n">
        <x:v>500</x:v>
      </x:c>
      <x:c r="I8" s="79" t="n">
        <x:v>500</x:v>
      </x:c>
      <x:c r="J8" s="79" t="n">
        <x:v>500</x:v>
      </x:c>
      <x:c r="K8" s="79" t="n">
        <x:v>500</x:v>
      </x:c>
      <x:c r="L8" s="79" t="n">
        <x:v>500</x:v>
      </x:c>
      <x:c r="M8" s="79" t="n">
        <x:v>500</x:v>
      </x:c>
      <x:c r="N8" s="79" t="n">
        <x:v>500</x:v>
      </x:c>
      <x:c r="O8" s="79" t="n">
        <x:v>500</x:v>
      </x:c>
      <x:c r="P8" s="79" t="n">
        <x:v>0</x:v>
      </x:c>
      <x:c r="Q8" s="79">
        <x:f>SUM(D8:P8)</x:f>
        <x:v>6120.46</x:v>
      </x:c>
    </x:row>
    <x:row r="9">
      <x:c r="A9" s="10" t="inlineStr">
        <x:is>
          <x:t xml:space="preserve">02100104</x:t>
        </x:is>
      </x:c>
      <x:c r="B9" s="10" t="inlineStr">
        <x:is>
          <x:t xml:space="preserve">Ann Lou Minguito</x:t>
        </x:is>
      </x:c>
      <x:c r="C9" s="91" t="n">
        <x:v>17000</x:v>
      </x:c>
      <x:c r="D9" s="79">
        <x:f>ROUND(('Special Holiday'!F9*($C9/22/8)*0.3),2)</x:f>
        <x:v>347.73</x:v>
      </x:c>
      <x:c r="E9" s="79">
        <x:f>ROUND(('Total Hours - Summary'!U9*($C9/22/8)*0.1),2)</x:f>
        <x:v>38.64</x:v>
      </x:c>
      <x:c r="F9" s="79">
        <x:f>ROUND('Total Hours - Summary'!V9,2)</x:f>
        <x:v>0</x:v>
      </x:c>
      <x:c r="G9" s="79" t="n">
        <x:v>1000</x:v>
      </x:c>
      <x:c r="H9" s="79" t="n">
        <x:v>500</x:v>
      </x:c>
      <x:c r="I9" s="79" t="n">
        <x:v>500</x:v>
      </x:c>
      <x:c r="J9" s="79" t="n">
        <x:v>500</x:v>
      </x:c>
      <x:c r="K9" s="79" t="n">
        <x:v>500</x:v>
      </x:c>
      <x:c r="L9" s="79" t="n">
        <x:v>500</x:v>
      </x:c>
      <x:c r="M9" s="79" t="n">
        <x:v>500</x:v>
      </x:c>
      <x:c r="N9" s="79" t="n">
        <x:v>500</x:v>
      </x:c>
      <x:c r="O9" s="79" t="n">
        <x:v>500</x:v>
      </x:c>
      <x:c r="P9" s="79" t="n">
        <x:v>0</x:v>
      </x:c>
      <x:c r="Q9" s="79">
        <x:f>SUM(D9:P9)</x:f>
        <x:v>5386.37</x:v>
      </x:c>
    </x:row>
    <x:row r="10">
      <x:c r="A10" s="10" t="inlineStr">
        <x:is>
          <x:t xml:space="preserve">02200105</x:t>
        </x:is>
      </x:c>
      <x:c r="B10" s="10" t="inlineStr">
        <x:is>
          <x:t xml:space="preserve">Anna Marie Tabares</x:t>
        </x:is>
      </x:c>
      <x:c r="C10" s="91" t="n">
        <x:v>15000</x:v>
      </x:c>
      <x:c r="D10" s="79">
        <x:f>ROUND(('Special Holiday'!F10*($C10/22/8)*0.3),2)</x:f>
        <x:v>153.41</x:v>
      </x:c>
      <x:c r="E10" s="79">
        <x:f>ROUND(('Total Hours - Summary'!U10*($C10/22/8)*0.1),2)</x:f>
        <x:v>136.36</x:v>
      </x:c>
      <x:c r="F10" s="79">
        <x:f>ROUND('Total Hours - Summary'!V10,2)</x:f>
        <x:v>200</x:v>
      </x:c>
      <x:c r="G10" s="79" t="n">
        <x:v>1000</x:v>
      </x:c>
      <x:c r="H10" s="79" t="n">
        <x:v>500</x:v>
      </x:c>
      <x:c r="I10" s="79" t="n">
        <x:v>500</x:v>
      </x:c>
      <x:c r="J10" s="79" t="n">
        <x:v>500</x:v>
      </x:c>
      <x:c r="K10" s="79" t="n">
        <x:v>500</x:v>
      </x:c>
      <x:c r="L10" s="79" t="n">
        <x:v>500</x:v>
      </x:c>
      <x:c r="M10" s="79" t="n">
        <x:v>500</x:v>
      </x:c>
      <x:c r="N10" s="79" t="n">
        <x:v>500</x:v>
      </x:c>
      <x:c r="O10" s="79" t="n">
        <x:v>500</x:v>
      </x:c>
      <x:c r="P10" s="79" t="n">
        <x:v>0</x:v>
      </x:c>
      <x:c r="Q10" s="79">
        <x:f>SUM(D10:P10)</x:f>
        <x:v>5489.77</x:v>
      </x:c>
    </x:row>
    <x:row r="11">
      <x:c r="A11" s="10" t="inlineStr">
        <x:is>
          <x:t xml:space="preserve">02100106</x:t>
        </x:is>
      </x:c>
      <x:c r="B11" s="10" t="inlineStr">
        <x:is>
          <x:t xml:space="preserve">Anna Mica Ella Punongbayan</x:t>
        </x:is>
      </x:c>
      <x:c r="C11" s="91" t="n">
        <x:v>22000</x:v>
      </x:c>
      <x:c r="D11" s="79">
        <x:f>ROUND(('Special Holiday'!F11*($C11/22/8)*0.3),2)</x:f>
        <x:v>150</x:v>
      </x:c>
      <x:c r="E11" s="79">
        <x:f>ROUND(('Total Hours - Summary'!U11*($C11/22/8)*0.1),2)</x:f>
        <x:v>200</x:v>
      </x:c>
      <x:c r="F11" s="79">
        <x:f>ROUND('Total Hours - Summary'!V11,2)</x:f>
        <x:v>0</x:v>
      </x:c>
      <x:c r="G11" s="79" t="n">
        <x:v>1000</x:v>
      </x:c>
      <x:c r="H11" s="79" t="n">
        <x:v>500</x:v>
      </x:c>
      <x:c r="I11" s="79" t="n">
        <x:v>500</x:v>
      </x:c>
      <x:c r="J11" s="79" t="n">
        <x:v>500</x:v>
      </x:c>
      <x:c r="K11" s="79" t="n">
        <x:v>500</x:v>
      </x:c>
      <x:c r="L11" s="79" t="n">
        <x:v>500</x:v>
      </x:c>
      <x:c r="M11" s="79" t="n">
        <x:v>500</x:v>
      </x:c>
      <x:c r="N11" s="79" t="n">
        <x:v>500</x:v>
      </x:c>
      <x:c r="O11" s="79" t="n">
        <x:v>500</x:v>
      </x:c>
      <x:c r="P11" s="79" t="n">
        <x:v>0</x:v>
      </x:c>
      <x:c r="Q11" s="79">
        <x:f>SUM(D11:P11)</x:f>
        <x:v>5350</x:v>
      </x:c>
    </x:row>
    <x:row r="12">
      <x:c r="A12" s="10" t="inlineStr">
        <x:is>
          <x:t xml:space="preserve">02100227</x:t>
        </x:is>
      </x:c>
      <x:c r="B12" s="10" t="inlineStr">
        <x:is>
          <x:t xml:space="preserve">April Jane Elnar</x:t>
        </x:is>
      </x:c>
      <x:c r="C12" s="91" t="n">
        <x:v>20000</x:v>
      </x:c>
      <x:c r="D12" s="79">
        <x:f>ROUND(('Special Holiday'!F12*($C12/22/8)*0.3),2)</x:f>
        <x:v>477.27</x:v>
      </x:c>
      <x:c r="E12" s="79">
        <x:f>ROUND(('Total Hours - Summary'!U12*($C12/22/8)*0.1),2)</x:f>
        <x:v>45.45</x:v>
      </x:c>
      <x:c r="F12" s="79">
        <x:f>ROUND('Total Hours - Summary'!V12,2)</x:f>
        <x:v>350</x:v>
      </x:c>
      <x:c r="G12" s="79" t="n">
        <x:v>1000</x:v>
      </x:c>
      <x:c r="H12" s="79" t="n">
        <x:v>500</x:v>
      </x:c>
      <x:c r="I12" s="79" t="n">
        <x:v>500</x:v>
      </x:c>
      <x:c r="J12" s="79" t="n">
        <x:v>500</x:v>
      </x:c>
      <x:c r="K12" s="79" t="n">
        <x:v>500</x:v>
      </x:c>
      <x:c r="L12" s="79" t="n">
        <x:v>500</x:v>
      </x:c>
      <x:c r="M12" s="79" t="n">
        <x:v>500</x:v>
      </x:c>
      <x:c r="N12" s="79" t="n">
        <x:v>500</x:v>
      </x:c>
      <x:c r="O12" s="79" t="n">
        <x:v>500</x:v>
      </x:c>
      <x:c r="P12" s="79" t="n">
        <x:v>0</x:v>
      </x:c>
      <x:c r="Q12" s="79">
        <x:f>SUM(D12:P12)</x:f>
        <x:v>5872.72</x:v>
      </x:c>
    </x:row>
    <x:row r="13">
      <x:c r="A13" s="10" t="inlineStr">
        <x:is>
          <x:t xml:space="preserve">02100194</x:t>
        </x:is>
      </x:c>
      <x:c r="B13" s="10" t="inlineStr">
        <x:is>
          <x:t xml:space="preserve">April Sanchez</x:t>
        </x:is>
      </x:c>
      <x:c r="C13" s="91" t="n">
        <x:v>18500</x:v>
      </x:c>
      <x:c r="D13" s="79">
        <x:f>ROUND(('Special Holiday'!F13*($C13/22/8)*0.3),2)</x:f>
        <x:v>126.14</x:v>
      </x:c>
      <x:c r="E13" s="79">
        <x:f>ROUND(('Total Hours - Summary'!U13*($C13/22/8)*0.1),2)</x:f>
        <x:v>168.18</x:v>
      </x:c>
      <x:c r="F13" s="79">
        <x:f>ROUND('Total Hours - Summary'!V13,2)</x:f>
        <x:v>200</x:v>
      </x:c>
      <x:c r="G13" s="79" t="n">
        <x:v>1000</x:v>
      </x:c>
      <x:c r="H13" s="79" t="n">
        <x:v>500</x:v>
      </x:c>
      <x:c r="I13" s="79" t="n">
        <x:v>500</x:v>
      </x:c>
      <x:c r="J13" s="79" t="n">
        <x:v>500</x:v>
      </x:c>
      <x:c r="K13" s="79" t="n">
        <x:v>500</x:v>
      </x:c>
      <x:c r="L13" s="79" t="n">
        <x:v>500</x:v>
      </x:c>
      <x:c r="M13" s="79" t="n">
        <x:v>500</x:v>
      </x:c>
      <x:c r="N13" s="79" t="n">
        <x:v>500</x:v>
      </x:c>
      <x:c r="O13" s="79" t="n">
        <x:v>500</x:v>
      </x:c>
      <x:c r="P13" s="79" t="n">
        <x:v>0</x:v>
      </x:c>
      <x:c r="Q13" s="79">
        <x:f>SUM(D13:P13)</x:f>
        <x:v>5494.32</x:v>
      </x:c>
    </x:row>
    <x:row r="14">
      <x:c r="A14" s="10" t="inlineStr">
        <x:is>
          <x:t xml:space="preserve">01100218</x:t>
        </x:is>
      </x:c>
      <x:c r="B14" s="10" t="inlineStr">
        <x:is>
          <x:t xml:space="preserve">Aquilyn Dayan A. Adlit</x:t>
        </x:is>
      </x:c>
      <x:c r="C14" s="91" t="n">
        <x:v>20000</x:v>
      </x:c>
      <x:c r="D14" s="79">
        <x:f>ROUND(('Special Holiday'!F14*($C14/22/8)*0.3),2)</x:f>
        <x:v>545.45</x:v>
      </x:c>
      <x:c r="E14" s="79">
        <x:f>ROUND(('Total Hours - Summary'!U14*($C14/22/8)*0.1),2)</x:f>
        <x:v>227.27</x:v>
      </x:c>
      <x:c r="F14" s="79">
        <x:f>ROUND('Total Hours - Summary'!V14,2)</x:f>
        <x:v>0</x:v>
      </x:c>
      <x:c r="G14" s="79" t="n">
        <x:v>1000</x:v>
      </x:c>
      <x:c r="H14" s="79" t="n">
        <x:v>500</x:v>
      </x:c>
      <x:c r="I14" s="79" t="n">
        <x:v>500</x:v>
      </x:c>
      <x:c r="J14" s="79" t="n">
        <x:v>500</x:v>
      </x:c>
      <x:c r="K14" s="79" t="n">
        <x:v>500</x:v>
      </x:c>
      <x:c r="L14" s="79" t="n">
        <x:v>500</x:v>
      </x:c>
      <x:c r="M14" s="79" t="n">
        <x:v>500</x:v>
      </x:c>
      <x:c r="N14" s="79" t="n">
        <x:v>500</x:v>
      </x:c>
      <x:c r="O14" s="79" t="n">
        <x:v>500</x:v>
      </x:c>
      <x:c r="P14" s="79" t="n">
        <x:v>0</x:v>
      </x:c>
      <x:c r="Q14" s="79">
        <x:f>SUM(D14:P14)</x:f>
        <x:v>5772.72</x:v>
      </x:c>
    </x:row>
    <x:row r="15">
      <x:c r="A15" s="10" t="inlineStr">
        <x:is>
          <x:t xml:space="preserve">02100327</x:t>
        </x:is>
      </x:c>
      <x:c r="B15" s="10" t="inlineStr">
        <x:is>
          <x:t xml:space="preserve">Ardeth James Ortega</x:t>
        </x:is>
      </x:c>
      <x:c r="C15" s="91" t="n">
        <x:v>21000</x:v>
      </x:c>
      <x:c r="D15" s="79">
        <x:f>ROUND(('Special Holiday'!F15*($C15/22/8)*0.3),2)</x:f>
        <x:v>286.36</x:v>
      </x:c>
      <x:c r="E15" s="79">
        <x:f>ROUND(('Total Hours - Summary'!U15*($C15/22/8)*0.1),2)</x:f>
        <x:v>143.18</x:v>
      </x:c>
      <x:c r="F15" s="79">
        <x:f>ROUND('Total Hours - Summary'!V15,2)</x:f>
        <x:v>0</x:v>
      </x:c>
      <x:c r="G15" s="79" t="n">
        <x:v>1000</x:v>
      </x:c>
      <x:c r="H15" s="79" t="n">
        <x:v>500</x:v>
      </x:c>
      <x:c r="I15" s="79" t="n">
        <x:v>500</x:v>
      </x:c>
      <x:c r="J15" s="79" t="n">
        <x:v>500</x:v>
      </x:c>
      <x:c r="K15" s="79" t="n">
        <x:v>500</x:v>
      </x:c>
      <x:c r="L15" s="79" t="n">
        <x:v>500</x:v>
      </x:c>
      <x:c r="M15" s="79" t="n">
        <x:v>500</x:v>
      </x:c>
      <x:c r="N15" s="79" t="n">
        <x:v>500</x:v>
      </x:c>
      <x:c r="O15" s="79" t="n">
        <x:v>500</x:v>
      </x:c>
      <x:c r="P15" s="79" t="n">
        <x:v>0</x:v>
      </x:c>
      <x:c r="Q15" s="79">
        <x:f>SUM(D15:P15)</x:f>
        <x:v>5429.54</x:v>
      </x:c>
    </x:row>
    <x:row r="16">
      <x:c r="A16" s="10" t="inlineStr">
        <x:is>
          <x:t xml:space="preserve">02100107</x:t>
        </x:is>
      </x:c>
      <x:c r="B16" s="10" t="inlineStr">
        <x:is>
          <x:t xml:space="preserve">Brenda Mae T. Bacurnay</x:t>
        </x:is>
      </x:c>
      <x:c r="C16" s="91" t="n">
        <x:v>22000</x:v>
      </x:c>
      <x:c r="D16" s="79">
        <x:f>ROUND(('Special Holiday'!F16*($C16/22/8)*0.3),2)</x:f>
        <x:v>525</x:v>
      </x:c>
      <x:c r="E16" s="79">
        <x:f>ROUND(('Total Hours - Summary'!U16*($C16/22/8)*0.1),2)</x:f>
        <x:v>300</x:v>
      </x:c>
      <x:c r="F16" s="79">
        <x:f>ROUND('Total Hours - Summary'!V16,2)</x:f>
        <x:v>350</x:v>
      </x:c>
      <x:c r="G16" s="79" t="n">
        <x:v>1000</x:v>
      </x:c>
      <x:c r="H16" s="79" t="n">
        <x:v>500</x:v>
      </x:c>
      <x:c r="I16" s="79" t="n">
        <x:v>500</x:v>
      </x:c>
      <x:c r="J16" s="79" t="n">
        <x:v>500</x:v>
      </x:c>
      <x:c r="K16" s="79" t="n">
        <x:v>500</x:v>
      </x:c>
      <x:c r="L16" s="79" t="n">
        <x:v>500</x:v>
      </x:c>
      <x:c r="M16" s="79" t="n">
        <x:v>500</x:v>
      </x:c>
      <x:c r="N16" s="79" t="n">
        <x:v>500</x:v>
      </x:c>
      <x:c r="O16" s="79" t="n">
        <x:v>500</x:v>
      </x:c>
      <x:c r="P16" s="79" t="n">
        <x:v>0</x:v>
      </x:c>
      <x:c r="Q16" s="79">
        <x:f>SUM(D16:P16)</x:f>
        <x:v>6175</x:v>
      </x:c>
    </x:row>
    <x:row r="17">
      <x:c r="A17" s="10" t="inlineStr">
        <x:is>
          <x:t xml:space="preserve">01100271</x:t>
        </x:is>
      </x:c>
      <x:c r="B17" s="10" t="inlineStr">
        <x:is>
          <x:t xml:space="preserve">Buenagen Bagundol</x:t>
        </x:is>
      </x:c>
      <x:c r="C17" s="91" t="n">
        <x:v>19500</x:v>
      </x:c>
      <x:c r="D17" s="79">
        <x:f>ROUND(('Special Holiday'!F17*($C17/22/8)*0.3),2)</x:f>
        <x:v>531.82</x:v>
      </x:c>
      <x:c r="E17" s="79">
        <x:f>ROUND(('Total Hours - Summary'!U17*($C17/22/8)*0.1),2)</x:f>
        <x:v>44.32</x:v>
      </x:c>
      <x:c r="F17" s="79">
        <x:f>ROUND('Total Hours - Summary'!V17,2)</x:f>
        <x:v>500</x:v>
      </x:c>
      <x:c r="G17" s="79" t="n">
        <x:v>1000</x:v>
      </x:c>
      <x:c r="H17" s="79" t="n">
        <x:v>500</x:v>
      </x:c>
      <x:c r="I17" s="79" t="n">
        <x:v>500</x:v>
      </x:c>
      <x:c r="J17" s="79" t="n">
        <x:v>500</x:v>
      </x:c>
      <x:c r="K17" s="79" t="n">
        <x:v>500</x:v>
      </x:c>
      <x:c r="L17" s="79" t="n">
        <x:v>500</x:v>
      </x:c>
      <x:c r="M17" s="79" t="n">
        <x:v>500</x:v>
      </x:c>
      <x:c r="N17" s="79" t="n">
        <x:v>500</x:v>
      </x:c>
      <x:c r="O17" s="79" t="n">
        <x:v>500</x:v>
      </x:c>
      <x:c r="P17" s="79" t="n">
        <x:v>0</x:v>
      </x:c>
      <x:c r="Q17" s="79">
        <x:f>SUM(D17:P17)</x:f>
        <x:v>6076.14</x:v>
      </x:c>
    </x:row>
    <x:row r="18">
      <x:c r="A18" s="10" t="inlineStr">
        <x:is>
          <x:t xml:space="preserve">01100108</x:t>
        </x:is>
      </x:c>
      <x:c r="B18" s="10" t="inlineStr">
        <x:is>
          <x:t xml:space="preserve">Camela Torrate</x:t>
        </x:is>
      </x:c>
      <x:c r="C18" s="91" t="n">
        <x:v>16000</x:v>
      </x:c>
      <x:c r="D18" s="79">
        <x:f>ROUND(('Special Holiday'!F18*($C18/22/8)*0.3),2)</x:f>
        <x:v>381.82</x:v>
      </x:c>
      <x:c r="E18" s="79">
        <x:f>ROUND(('Total Hours - Summary'!U18*($C18/22/8)*0.1),2)</x:f>
        <x:v>109.09</x:v>
      </x:c>
      <x:c r="F18" s="79">
        <x:f>ROUND('Total Hours - Summary'!V18,2)</x:f>
        <x:v>0</x:v>
      </x:c>
      <x:c r="G18" s="79" t="n">
        <x:v>1000</x:v>
      </x:c>
      <x:c r="H18" s="79" t="n">
        <x:v>500</x:v>
      </x:c>
      <x:c r="I18" s="79" t="n">
        <x:v>500</x:v>
      </x:c>
      <x:c r="J18" s="79" t="n">
        <x:v>500</x:v>
      </x:c>
      <x:c r="K18" s="79" t="n">
        <x:v>500</x:v>
      </x:c>
      <x:c r="L18" s="79" t="n">
        <x:v>500</x:v>
      </x:c>
      <x:c r="M18" s="79" t="n">
        <x:v>500</x:v>
      </x:c>
      <x:c r="N18" s="79" t="n">
        <x:v>500</x:v>
      </x:c>
      <x:c r="O18" s="79" t="n">
        <x:v>500</x:v>
      </x:c>
      <x:c r="P18" s="79" t="n">
        <x:v>0</x:v>
      </x:c>
      <x:c r="Q18" s="79">
        <x:f>SUM(D18:P18)</x:f>
        <x:v>5490.91</x:v>
      </x:c>
    </x:row>
    <x:row r="19">
      <x:c r="A19" s="10" t="inlineStr">
        <x:is>
          <x:t xml:space="preserve">02100109</x:t>
        </x:is>
      </x:c>
      <x:c r="B19" s="10" t="inlineStr">
        <x:is>
          <x:t xml:space="preserve">Candice Kate Velasco</x:t>
        </x:is>
      </x:c>
      <x:c r="C19" s="91" t="n">
        <x:v>19000</x:v>
      </x:c>
      <x:c r="D19" s="79">
        <x:f>ROUND(('Special Holiday'!F19*($C19/22/8)*0.3),2)</x:f>
        <x:v>518.18</x:v>
      </x:c>
      <x:c r="E19" s="79">
        <x:f>ROUND(('Total Hours - Summary'!U19*($C19/22/8)*0.1),2)</x:f>
        <x:v>0</x:v>
      </x:c>
      <x:c r="F19" s="79">
        <x:f>ROUND('Total Hours - Summary'!V19,2)</x:f>
        <x:v>0</x:v>
      </x:c>
      <x:c r="G19" s="79" t="n">
        <x:v>1000</x:v>
      </x:c>
      <x:c r="H19" s="79" t="n">
        <x:v>500</x:v>
      </x:c>
      <x:c r="I19" s="79" t="n">
        <x:v>500</x:v>
      </x:c>
      <x:c r="J19" s="79" t="n">
        <x:v>500</x:v>
      </x:c>
      <x:c r="K19" s="79" t="n">
        <x:v>500</x:v>
      </x:c>
      <x:c r="L19" s="79" t="n">
        <x:v>500</x:v>
      </x:c>
      <x:c r="M19" s="79" t="n">
        <x:v>500</x:v>
      </x:c>
      <x:c r="N19" s="79" t="n">
        <x:v>500</x:v>
      </x:c>
      <x:c r="O19" s="79" t="n">
        <x:v>500</x:v>
      </x:c>
      <x:c r="P19" s="79" t="n">
        <x:v>0</x:v>
      </x:c>
      <x:c r="Q19" s="79">
        <x:f>SUM(D19:P19)</x:f>
        <x:v>5518.18</x:v>
      </x:c>
    </x:row>
    <x:row r="20">
      <x:c r="A20" s="10" t="inlineStr">
        <x:is>
          <x:t xml:space="preserve">02100294</x:t>
        </x:is>
      </x:c>
      <x:c r="B20" s="10" t="inlineStr">
        <x:is>
          <x:t xml:space="preserve">Carlo John Rubio</x:t>
        </x:is>
      </x:c>
      <x:c r="C20" s="91" t="n">
        <x:v>15500</x:v>
      </x:c>
      <x:c r="D20" s="79">
        <x:f>ROUND(('Special Holiday'!F20*($C20/22/8)*0.3),2)</x:f>
        <x:v>211.36</x:v>
      </x:c>
      <x:c r="E20" s="79">
        <x:f>ROUND(('Total Hours - Summary'!U20*($C20/22/8)*0.1),2)</x:f>
        <x:v>176.14</x:v>
      </x:c>
      <x:c r="F20" s="79">
        <x:f>ROUND('Total Hours - Summary'!V20,2)</x:f>
        <x:v>0</x:v>
      </x:c>
      <x:c r="G20" s="79" t="n">
        <x:v>1000</x:v>
      </x:c>
      <x:c r="H20" s="79" t="n">
        <x:v>500</x:v>
      </x:c>
      <x:c r="I20" s="79" t="n">
        <x:v>500</x:v>
      </x:c>
      <x:c r="J20" s="79" t="n">
        <x:v>500</x:v>
      </x:c>
      <x:c r="K20" s="79" t="n">
        <x:v>500</x:v>
      </x:c>
      <x:c r="L20" s="79" t="n">
        <x:v>500</x:v>
      </x:c>
      <x:c r="M20" s="79" t="n">
        <x:v>500</x:v>
      </x:c>
      <x:c r="N20" s="79" t="n">
        <x:v>500</x:v>
      </x:c>
      <x:c r="O20" s="79" t="n">
        <x:v>500</x:v>
      </x:c>
      <x:c r="P20" s="79" t="n">
        <x:v>0</x:v>
      </x:c>
      <x:c r="Q20" s="79">
        <x:f>SUM(D20:P20)</x:f>
        <x:v>5387.5</x:v>
      </x:c>
    </x:row>
    <x:row r="21">
      <x:c r="A21" s="10" t="inlineStr">
        <x:is>
          <x:t xml:space="preserve">01100270</x:t>
        </x:is>
      </x:c>
      <x:c r="B21" s="10" t="inlineStr">
        <x:is>
          <x:t xml:space="preserve">Catherine Vergara</x:t>
        </x:is>
      </x:c>
      <x:c r="C21" s="91" t="n">
        <x:v>16000</x:v>
      </x:c>
      <x:c r="D21" s="79">
        <x:f>ROUND(('Special Holiday'!F21*($C21/22/8)*0.3),2)</x:f>
        <x:v>327.27</x:v>
      </x:c>
      <x:c r="E21" s="79">
        <x:f>ROUND(('Total Hours - Summary'!U21*($C21/22/8)*0.1),2)</x:f>
        <x:v>109.09</x:v>
      </x:c>
      <x:c r="F21" s="79">
        <x:f>ROUND('Total Hours - Summary'!V21,2)</x:f>
        <x:v>0</x:v>
      </x:c>
      <x:c r="G21" s="79" t="n">
        <x:v>1000</x:v>
      </x:c>
      <x:c r="H21" s="79" t="n">
        <x:v>500</x:v>
      </x:c>
      <x:c r="I21" s="79" t="n">
        <x:v>500</x:v>
      </x:c>
      <x:c r="J21" s="79" t="n">
        <x:v>500</x:v>
      </x:c>
      <x:c r="K21" s="79" t="n">
        <x:v>500</x:v>
      </x:c>
      <x:c r="L21" s="79" t="n">
        <x:v>500</x:v>
      </x:c>
      <x:c r="M21" s="79" t="n">
        <x:v>500</x:v>
      </x:c>
      <x:c r="N21" s="79" t="n">
        <x:v>500</x:v>
      </x:c>
      <x:c r="O21" s="79" t="n">
        <x:v>500</x:v>
      </x:c>
      <x:c r="P21" s="79" t="n">
        <x:v>0</x:v>
      </x:c>
      <x:c r="Q21" s="79">
        <x:f>SUM(D21:P21)</x:f>
        <x:v>5436.360000000001</x:v>
      </x:c>
    </x:row>
    <x:row r="22">
      <x:c r="A22" s="10" t="inlineStr">
        <x:is>
          <x:t xml:space="preserve">01100220</x:t>
        </x:is>
      </x:c>
      <x:c r="B22" s="10" t="inlineStr">
        <x:is>
          <x:t xml:space="preserve">Christian Pagobo</x:t>
        </x:is>
      </x:c>
      <x:c r="C22" s="91" t="n">
        <x:v>16000</x:v>
      </x:c>
      <x:c r="D22" s="79">
        <x:f>ROUND(('Special Holiday'!F22*($C22/22/8)*0.3),2)</x:f>
        <x:v>218.18</x:v>
      </x:c>
      <x:c r="E22" s="79">
        <x:f>ROUND(('Total Hours - Summary'!U22*($C22/22/8)*0.1),2)</x:f>
        <x:v>72.73</x:v>
      </x:c>
      <x:c r="F22" s="79">
        <x:f>ROUND('Total Hours - Summary'!V22,2)</x:f>
        <x:v>750</x:v>
      </x:c>
      <x:c r="G22" s="79" t="n">
        <x:v>1000</x:v>
      </x:c>
      <x:c r="H22" s="79" t="n">
        <x:v>500</x:v>
      </x:c>
      <x:c r="I22" s="79" t="n">
        <x:v>500</x:v>
      </x:c>
      <x:c r="J22" s="79" t="n">
        <x:v>500</x:v>
      </x:c>
      <x:c r="K22" s="79" t="n">
        <x:v>500</x:v>
      </x:c>
      <x:c r="L22" s="79" t="n">
        <x:v>500</x:v>
      </x:c>
      <x:c r="M22" s="79" t="n">
        <x:v>500</x:v>
      </x:c>
      <x:c r="N22" s="79" t="n">
        <x:v>500</x:v>
      </x:c>
      <x:c r="O22" s="79" t="n">
        <x:v>500</x:v>
      </x:c>
      <x:c r="P22" s="79" t="n">
        <x:v>0</x:v>
      </x:c>
      <x:c r="Q22" s="79">
        <x:f>SUM(D22:P22)</x:f>
        <x:v>6040.91</x:v>
      </x:c>
    </x:row>
    <x:row r="23">
      <x:c r="A23" s="10" t="inlineStr">
        <x:is>
          <x:t xml:space="preserve">01100112</x:t>
        </x:is>
      </x:c>
      <x:c r="B23" s="10" t="inlineStr">
        <x:is>
          <x:t xml:space="preserve">Crislyn Cuizon</x:t>
        </x:is>
      </x:c>
      <x:c r="C23" s="91" t="n">
        <x:v>15000</x:v>
      </x:c>
      <x:c r="D23" s="79">
        <x:f>ROUND(('Special Holiday'!F23*($C23/22/8)*0.3),2)</x:f>
        <x:v>409.09</x:v>
      </x:c>
      <x:c r="E23" s="79">
        <x:f>ROUND(('Total Hours - Summary'!U23*($C23/22/8)*0.1),2)</x:f>
        <x:v>34.09</x:v>
      </x:c>
      <x:c r="F23" s="79">
        <x:f>ROUND('Total Hours - Summary'!V23,2)</x:f>
        <x:v>0</x:v>
      </x:c>
      <x:c r="G23" s="79" t="n">
        <x:v>1000</x:v>
      </x:c>
      <x:c r="H23" s="79" t="n">
        <x:v>500</x:v>
      </x:c>
      <x:c r="I23" s="79" t="n">
        <x:v>500</x:v>
      </x:c>
      <x:c r="J23" s="79" t="n">
        <x:v>500</x:v>
      </x:c>
      <x:c r="K23" s="79" t="n">
        <x:v>500</x:v>
      </x:c>
      <x:c r="L23" s="79" t="n">
        <x:v>500</x:v>
      </x:c>
      <x:c r="M23" s="79" t="n">
        <x:v>500</x:v>
      </x:c>
      <x:c r="N23" s="79" t="n">
        <x:v>500</x:v>
      </x:c>
      <x:c r="O23" s="79" t="n">
        <x:v>500</x:v>
      </x:c>
      <x:c r="P23" s="79" t="n">
        <x:v>0</x:v>
      </x:c>
      <x:c r="Q23" s="79">
        <x:f>SUM(D23:P23)</x:f>
        <x:v>5443.18</x:v>
      </x:c>
    </x:row>
    <x:row r="24">
      <x:c r="A24" s="10" t="inlineStr">
        <x:is>
          <x:t xml:space="preserve">01100329</x:t>
        </x:is>
      </x:c>
      <x:c r="B24" s="10" t="inlineStr">
        <x:is>
          <x:t xml:space="preserve">Cyriline Vergara</x:t>
        </x:is>
      </x:c>
      <x:c r="C24" s="91" t="n">
        <x:v>17500</x:v>
      </x:c>
      <x:c r="D24" s="79">
        <x:f>ROUND(('Special Holiday'!F24*($C24/22/8)*0.3),2)</x:f>
        <x:v>0</x:v>
      </x:c>
      <x:c r="E24" s="79">
        <x:f>ROUND(('Total Hours - Summary'!U24*($C24/22/8)*0.1),2)</x:f>
        <x:v>39.77</x:v>
      </x:c>
      <x:c r="F24" s="79">
        <x:f>ROUND('Total Hours - Summary'!V24,2)</x:f>
        <x:v>0</x:v>
      </x:c>
      <x:c r="G24" s="79" t="n">
        <x:v>1000</x:v>
      </x:c>
      <x:c r="H24" s="79" t="n">
        <x:v>500</x:v>
      </x:c>
      <x:c r="I24" s="79" t="n">
        <x:v>500</x:v>
      </x:c>
      <x:c r="J24" s="79" t="n">
        <x:v>500</x:v>
      </x:c>
      <x:c r="K24" s="79" t="n">
        <x:v>500</x:v>
      </x:c>
      <x:c r="L24" s="79" t="n">
        <x:v>500</x:v>
      </x:c>
      <x:c r="M24" s="79" t="n">
        <x:v>500</x:v>
      </x:c>
      <x:c r="N24" s="79" t="n">
        <x:v>500</x:v>
      </x:c>
      <x:c r="O24" s="79" t="n">
        <x:v>500</x:v>
      </x:c>
      <x:c r="P24" s="79" t="n">
        <x:v>0</x:v>
      </x:c>
      <x:c r="Q24" s="79">
        <x:f>SUM(D24:P24)</x:f>
        <x:v>5039.77</x:v>
      </x:c>
    </x:row>
    <x:row r="25">
      <x:c r="A25" s="10" t="inlineStr">
        <x:is>
          <x:t xml:space="preserve">01100113</x:t>
        </x:is>
      </x:c>
      <x:c r="B25" s="10" t="inlineStr">
        <x:is>
          <x:t xml:space="preserve">Demie Marie Medalle</x:t>
        </x:is>
      </x:c>
      <x:c r="C25" s="91" t="n">
        <x:v>15500</x:v>
      </x:c>
      <x:c r="D25" s="79">
        <x:f>ROUND(('Special Holiday'!F25*($C25/22/8)*0.3),2)</x:f>
        <x:v>369.89</x:v>
      </x:c>
      <x:c r="E25" s="79">
        <x:f>ROUND(('Total Hours - Summary'!U25*($C25/22/8)*0.1),2)</x:f>
        <x:v>0</x:v>
      </x:c>
      <x:c r="F25" s="79">
        <x:f>ROUND('Total Hours - Summary'!V25,2)</x:f>
        <x:v>500</x:v>
      </x:c>
      <x:c r="G25" s="79" t="n">
        <x:v>1000</x:v>
      </x:c>
      <x:c r="H25" s="79" t="n">
        <x:v>500</x:v>
      </x:c>
      <x:c r="I25" s="79" t="n">
        <x:v>500</x:v>
      </x:c>
      <x:c r="J25" s="79" t="n">
        <x:v>500</x:v>
      </x:c>
      <x:c r="K25" s="79" t="n">
        <x:v>500</x:v>
      </x:c>
      <x:c r="L25" s="79" t="n">
        <x:v>500</x:v>
      </x:c>
      <x:c r="M25" s="79" t="n">
        <x:v>500</x:v>
      </x:c>
      <x:c r="N25" s="79" t="n">
        <x:v>500</x:v>
      </x:c>
      <x:c r="O25" s="79" t="n">
        <x:v>500</x:v>
      </x:c>
      <x:c r="P25" s="79" t="n">
        <x:v>0</x:v>
      </x:c>
      <x:c r="Q25" s="79">
        <x:f>SUM(D25:P25)</x:f>
        <x:v>5869.889999999999</x:v>
      </x:c>
    </x:row>
    <x:row r="26">
      <x:c r="A26" s="10" t="inlineStr">
        <x:is>
          <x:t xml:space="preserve">01100115</x:t>
        </x:is>
      </x:c>
      <x:c r="B26" s="10" t="inlineStr">
        <x:is>
          <x:t xml:space="preserve">Dharlene G. Bendanillo</x:t>
        </x:is>
      </x:c>
      <x:c r="C26" s="91" t="n">
        <x:v>17500</x:v>
      </x:c>
      <x:c r="D26" s="79">
        <x:f>ROUND(('Special Holiday'!F26*($C26/22/8)*0.3),2)</x:f>
        <x:v>357.95</x:v>
      </x:c>
      <x:c r="E26" s="79">
        <x:f>ROUND(('Total Hours - Summary'!U26*($C26/22/8)*0.1),2)</x:f>
        <x:v>0</x:v>
      </x:c>
      <x:c r="F26" s="79">
        <x:f>ROUND('Total Hours - Summary'!V26,2)</x:f>
        <x:v>0</x:v>
      </x:c>
      <x:c r="G26" s="79" t="n">
        <x:v>1000</x:v>
      </x:c>
      <x:c r="H26" s="79" t="n">
        <x:v>500</x:v>
      </x:c>
      <x:c r="I26" s="79" t="n">
        <x:v>500</x:v>
      </x:c>
      <x:c r="J26" s="79" t="n">
        <x:v>500</x:v>
      </x:c>
      <x:c r="K26" s="79" t="n">
        <x:v>500</x:v>
      </x:c>
      <x:c r="L26" s="79" t="n">
        <x:v>500</x:v>
      </x:c>
      <x:c r="M26" s="79" t="n">
        <x:v>500</x:v>
      </x:c>
      <x:c r="N26" s="79" t="n">
        <x:v>500</x:v>
      </x:c>
      <x:c r="O26" s="79" t="n">
        <x:v>500</x:v>
      </x:c>
      <x:c r="P26" s="79" t="n">
        <x:v>0</x:v>
      </x:c>
      <x:c r="Q26" s="79">
        <x:f>SUM(D26:P26)</x:f>
        <x:v>5357.95</x:v>
      </x:c>
    </x:row>
    <x:row r="27">
      <x:c r="A27" s="10" t="inlineStr">
        <x:is>
          <x:t xml:space="preserve">01100116</x:t>
        </x:is>
      </x:c>
      <x:c r="B27" s="10" t="inlineStr">
        <x:is>
          <x:t xml:space="preserve">Donald Bacanaya</x:t>
        </x:is>
      </x:c>
      <x:c r="C27" s="91" t="n">
        <x:v>15500</x:v>
      </x:c>
      <x:c r="D27" s="79">
        <x:f>ROUND(('Special Holiday'!F27*($C27/22/8)*0.3),2)</x:f>
        <x:v>369.89</x:v>
      </x:c>
      <x:c r="E27" s="79">
        <x:f>ROUND(('Total Hours - Summary'!U27*($C27/22/8)*0.1),2)</x:f>
        <x:v>140.91</x:v>
      </x:c>
      <x:c r="F27" s="79">
        <x:f>ROUND('Total Hours - Summary'!V27,2)</x:f>
        <x:v>0</x:v>
      </x:c>
      <x:c r="G27" s="79" t="n">
        <x:v>1000</x:v>
      </x:c>
      <x:c r="H27" s="79" t="n">
        <x:v>500</x:v>
      </x:c>
      <x:c r="I27" s="79" t="n">
        <x:v>500</x:v>
      </x:c>
      <x:c r="J27" s="79" t="n">
        <x:v>500</x:v>
      </x:c>
      <x:c r="K27" s="79" t="n">
        <x:v>500</x:v>
      </x:c>
      <x:c r="L27" s="79" t="n">
        <x:v>500</x:v>
      </x:c>
      <x:c r="M27" s="79" t="n">
        <x:v>500</x:v>
      </x:c>
      <x:c r="N27" s="79" t="n">
        <x:v>500</x:v>
      </x:c>
      <x:c r="O27" s="79" t="n">
        <x:v>500</x:v>
      </x:c>
      <x:c r="P27" s="79" t="n">
        <x:v>0</x:v>
      </x:c>
      <x:c r="Q27" s="79">
        <x:f>SUM(D27:P27)</x:f>
        <x:v>5510.8</x:v>
      </x:c>
    </x:row>
    <x:row r="28">
      <x:c r="A28" s="10" t="inlineStr">
        <x:is>
          <x:t xml:space="preserve">01100253</x:t>
        </x:is>
      </x:c>
      <x:c r="B28" s="10" t="inlineStr">
        <x:is>
          <x:t xml:space="preserve">Ericka Dorreen Amores - Abejero</x:t>
        </x:is>
      </x:c>
      <x:c r="C28" s="91" t="n">
        <x:v>22000</x:v>
      </x:c>
      <x:c r="D28" s="79">
        <x:f>ROUND(('Special Holiday'!F28*($C28/22/8)*0.3),2)</x:f>
        <x:v>450</x:v>
      </x:c>
      <x:c r="E28" s="79">
        <x:f>ROUND(('Total Hours - Summary'!U28*($C28/22/8)*0.1),2)</x:f>
        <x:v>100</x:v>
      </x:c>
      <x:c r="F28" s="79">
        <x:f>ROUND('Total Hours - Summary'!V28,2)</x:f>
        <x:v>0</x:v>
      </x:c>
      <x:c r="G28" s="79" t="n">
        <x:v>1000</x:v>
      </x:c>
      <x:c r="H28" s="79" t="n">
        <x:v>500</x:v>
      </x:c>
      <x:c r="I28" s="79" t="n">
        <x:v>500</x:v>
      </x:c>
      <x:c r="J28" s="79" t="n">
        <x:v>500</x:v>
      </x:c>
      <x:c r="K28" s="79" t="n">
        <x:v>500</x:v>
      </x:c>
      <x:c r="L28" s="79" t="n">
        <x:v>500</x:v>
      </x:c>
      <x:c r="M28" s="79" t="n">
        <x:v>500</x:v>
      </x:c>
      <x:c r="N28" s="79" t="n">
        <x:v>500</x:v>
      </x:c>
      <x:c r="O28" s="79" t="n">
        <x:v>500</x:v>
      </x:c>
      <x:c r="P28" s="79" t="n">
        <x:v>0</x:v>
      </x:c>
      <x:c r="Q28" s="79">
        <x:f>SUM(D28:P28)</x:f>
        <x:v>5550</x:v>
      </x:c>
    </x:row>
    <x:row r="29">
      <x:c r="A29" s="10" t="inlineStr">
        <x:is>
          <x:t xml:space="preserve">02100117</x:t>
        </x:is>
      </x:c>
      <x:c r="B29" s="10" t="inlineStr">
        <x:is>
          <x:t xml:space="preserve">Ernesto F. Roquin Jr.</x:t>
        </x:is>
      </x:c>
      <x:c r="C29" s="91" t="n">
        <x:v>21000</x:v>
      </x:c>
      <x:c r="D29" s="79">
        <x:f>ROUND(('Special Holiday'!F29*($C29/22/8)*0.3),2)</x:f>
        <x:v>501.14</x:v>
      </x:c>
      <x:c r="E29" s="79">
        <x:f>ROUND(('Total Hours - Summary'!U29*($C29/22/8)*0.1),2)</x:f>
        <x:v>0</x:v>
      </x:c>
      <x:c r="F29" s="79">
        <x:f>ROUND('Total Hours - Summary'!V29,2)</x:f>
        <x:v>0</x:v>
      </x:c>
      <x:c r="G29" s="79" t="n">
        <x:v>1000</x:v>
      </x:c>
      <x:c r="H29" s="79" t="n">
        <x:v>500</x:v>
      </x:c>
      <x:c r="I29" s="79" t="n">
        <x:v>500</x:v>
      </x:c>
      <x:c r="J29" s="79" t="n">
        <x:v>500</x:v>
      </x:c>
      <x:c r="K29" s="79" t="n">
        <x:v>500</x:v>
      </x:c>
      <x:c r="L29" s="79" t="n">
        <x:v>500</x:v>
      </x:c>
      <x:c r="M29" s="79" t="n">
        <x:v>500</x:v>
      </x:c>
      <x:c r="N29" s="79" t="n">
        <x:v>500</x:v>
      </x:c>
      <x:c r="O29" s="79" t="n">
        <x:v>500</x:v>
      </x:c>
      <x:c r="P29" s="79" t="n">
        <x:v>0</x:v>
      </x:c>
      <x:c r="Q29" s="79">
        <x:f>SUM(D29:P29)</x:f>
        <x:v>5501.139999999999</x:v>
      </x:c>
    </x:row>
    <x:row r="30">
      <x:c r="A30" s="10" t="inlineStr">
        <x:is>
          <x:t xml:space="preserve">01100118</x:t>
        </x:is>
      </x:c>
      <x:c r="B30" s="10" t="inlineStr">
        <x:is>
          <x:t xml:space="preserve">Fame Diez</x:t>
        </x:is>
      </x:c>
      <x:c r="C30" s="91" t="n">
        <x:v>17500</x:v>
      </x:c>
      <x:c r="D30" s="79">
        <x:f>ROUND(('Special Holiday'!F30*($C30/22/8)*0.3),2)</x:f>
        <x:v>417.61</x:v>
      </x:c>
      <x:c r="E30" s="79">
        <x:f>ROUND(('Total Hours - Summary'!U30*($C30/22/8)*0.1),2)</x:f>
        <x:v>0</x:v>
      </x:c>
      <x:c r="F30" s="79">
        <x:f>ROUND('Total Hours - Summary'!V30,2)</x:f>
        <x:v>0</x:v>
      </x:c>
      <x:c r="G30" s="79" t="n">
        <x:v>1000</x:v>
      </x:c>
      <x:c r="H30" s="79" t="n">
        <x:v>500</x:v>
      </x:c>
      <x:c r="I30" s="79" t="n">
        <x:v>500</x:v>
      </x:c>
      <x:c r="J30" s="79" t="n">
        <x:v>500</x:v>
      </x:c>
      <x:c r="K30" s="79" t="n">
        <x:v>500</x:v>
      </x:c>
      <x:c r="L30" s="79" t="n">
        <x:v>500</x:v>
      </x:c>
      <x:c r="M30" s="79" t="n">
        <x:v>500</x:v>
      </x:c>
      <x:c r="N30" s="79" t="n">
        <x:v>500</x:v>
      </x:c>
      <x:c r="O30" s="79" t="n">
        <x:v>500</x:v>
      </x:c>
      <x:c r="P30" s="79" t="n">
        <x:v>0</x:v>
      </x:c>
      <x:c r="Q30" s="79">
        <x:f>SUM(D30:P30)</x:f>
        <x:v>5417.610000000001</x:v>
      </x:c>
    </x:row>
    <x:row r="31">
      <x:c r="A31" s="10" t="inlineStr">
        <x:is>
          <x:t xml:space="preserve">01100221</x:t>
        </x:is>
      </x:c>
      <x:c r="B31" s="10" t="inlineStr">
        <x:is>
          <x:t xml:space="preserve">Farrah Jean Vildosola</x:t>
        </x:is>
      </x:c>
      <x:c r="C31" s="91" t="n">
        <x:v>18500</x:v>
      </x:c>
      <x:c r="D31" s="79">
        <x:f>ROUND(('Special Holiday'!F31*($C31/22/8)*0.3),2)</x:f>
        <x:v>441.48</x:v>
      </x:c>
      <x:c r="E31" s="79">
        <x:f>ROUND(('Total Hours - Summary'!U31*($C31/22/8)*0.1),2)</x:f>
        <x:v>210.23</x:v>
      </x:c>
      <x:c r="F31" s="79">
        <x:f>ROUND('Total Hours - Summary'!V31,2)</x:f>
        <x:v>1200</x:v>
      </x:c>
      <x:c r="G31" s="79" t="n">
        <x:v>1000</x:v>
      </x:c>
      <x:c r="H31" s="79" t="n">
        <x:v>500</x:v>
      </x:c>
      <x:c r="I31" s="79" t="n">
        <x:v>500</x:v>
      </x:c>
      <x:c r="J31" s="79" t="n">
        <x:v>500</x:v>
      </x:c>
      <x:c r="K31" s="79" t="n">
        <x:v>500</x:v>
      </x:c>
      <x:c r="L31" s="79" t="n">
        <x:v>500</x:v>
      </x:c>
      <x:c r="M31" s="79" t="n">
        <x:v>500</x:v>
      </x:c>
      <x:c r="N31" s="79" t="n">
        <x:v>500</x:v>
      </x:c>
      <x:c r="O31" s="79" t="n">
        <x:v>500</x:v>
      </x:c>
      <x:c r="P31" s="79" t="n">
        <x:v>0</x:v>
      </x:c>
      <x:c r="Q31" s="79">
        <x:f>SUM(D31:P31)</x:f>
        <x:v>6851.71</x:v>
      </x:c>
    </x:row>
    <x:row r="32">
      <x:c r="A32" s="10" t="inlineStr">
        <x:is>
          <x:t xml:space="preserve">02100119</x:t>
        </x:is>
      </x:c>
      <x:c r="B32" s="10" t="inlineStr">
        <x:is>
          <x:t xml:space="preserve">Ferreh Jane Vilos</x:t>
        </x:is>
      </x:c>
      <x:c r="C32" s="91" t="n">
        <x:v>21000</x:v>
      </x:c>
      <x:c r="D32" s="79">
        <x:f>ROUND(('Special Holiday'!F32*($C32/22/8)*0.3),2)</x:f>
        <x:v>429.55</x:v>
      </x:c>
      <x:c r="E32" s="79">
        <x:f>ROUND(('Total Hours - Summary'!U32*($C32/22/8)*0.1),2)</x:f>
        <x:v>47.73</x:v>
      </x:c>
      <x:c r="F32" s="79">
        <x:f>ROUND('Total Hours - Summary'!V32,2)</x:f>
        <x:v>0</x:v>
      </x:c>
      <x:c r="G32" s="79" t="n">
        <x:v>1000</x:v>
      </x:c>
      <x:c r="H32" s="79" t="n">
        <x:v>500</x:v>
      </x:c>
      <x:c r="I32" s="79" t="n">
        <x:v>500</x:v>
      </x:c>
      <x:c r="J32" s="79" t="n">
        <x:v>500</x:v>
      </x:c>
      <x:c r="K32" s="79" t="n">
        <x:v>500</x:v>
      </x:c>
      <x:c r="L32" s="79" t="n">
        <x:v>500</x:v>
      </x:c>
      <x:c r="M32" s="79" t="n">
        <x:v>500</x:v>
      </x:c>
      <x:c r="N32" s="79" t="n">
        <x:v>500</x:v>
      </x:c>
      <x:c r="O32" s="79" t="n">
        <x:v>500</x:v>
      </x:c>
      <x:c r="P32" s="79" t="n">
        <x:v>0</x:v>
      </x:c>
      <x:c r="Q32" s="79">
        <x:f>SUM(D32:P32)</x:f>
        <x:v>5477.28</x:v>
      </x:c>
    </x:row>
    <x:row r="33">
      <x:c r="A33" s="10" t="inlineStr">
        <x:is>
          <x:t xml:space="preserve">02100120</x:t>
        </x:is>
      </x:c>
      <x:c r="B33" s="10" t="inlineStr">
        <x:is>
          <x:t xml:space="preserve">Flint Kaynon Balmadres</x:t>
        </x:is>
      </x:c>
      <x:c r="C33" s="91" t="n">
        <x:v>17500</x:v>
      </x:c>
      <x:c r="D33" s="79">
        <x:f>ROUND(('Special Holiday'!F33*($C33/22/8)*0.3),2)</x:f>
        <x:v>0</x:v>
      </x:c>
      <x:c r="E33" s="79">
        <x:f>ROUND(('Total Hours - Summary'!U33*($C33/22/8)*0.1),2)</x:f>
        <x:v>0</x:v>
      </x:c>
      <x:c r="F33" s="79">
        <x:f>ROUND('Total Hours - Summary'!V33,2)</x:f>
        <x:v>0</x:v>
      </x:c>
      <x:c r="G33" s="79" t="n">
        <x:v>1000</x:v>
      </x:c>
      <x:c r="H33" s="79" t="n">
        <x:v>500</x:v>
      </x:c>
      <x:c r="I33" s="79" t="n">
        <x:v>500</x:v>
      </x:c>
      <x:c r="J33" s="79" t="n">
        <x:v>500</x:v>
      </x:c>
      <x:c r="K33" s="79" t="n">
        <x:v>500</x:v>
      </x:c>
      <x:c r="L33" s="79" t="n">
        <x:v>500</x:v>
      </x:c>
      <x:c r="M33" s="79" t="n">
        <x:v>500</x:v>
      </x:c>
      <x:c r="N33" s="79" t="n">
        <x:v>500</x:v>
      </x:c>
      <x:c r="O33" s="79" t="n">
        <x:v>500</x:v>
      </x:c>
      <x:c r="P33" s="79" t="n">
        <x:v>0</x:v>
      </x:c>
      <x:c r="Q33" s="79">
        <x:f>SUM(D33:P33)</x:f>
        <x:v>5000</x:v>
      </x:c>
    </x:row>
    <x:row r="34">
      <x:c r="A34" s="10" t="inlineStr">
        <x:is>
          <x:t xml:space="preserve">01100217</x:t>
        </x:is>
      </x:c>
      <x:c r="B34" s="10" t="inlineStr">
        <x:is>
          <x:t xml:space="preserve">Franklyn Jay Talisic</x:t>
        </x:is>
      </x:c>
      <x:c r="C34" s="91" t="n">
        <x:v>18500</x:v>
      </x:c>
      <x:c r="D34" s="79">
        <x:f>ROUND(('Special Holiday'!F34*($C34/22/8)*0.3),2)</x:f>
        <x:v>504.55</x:v>
      </x:c>
      <x:c r="E34" s="79">
        <x:f>ROUND(('Total Hours - Summary'!U34*($C34/22/8)*0.1),2)</x:f>
        <x:v>0</x:v>
      </x:c>
      <x:c r="F34" s="79">
        <x:f>ROUND('Total Hours - Summary'!V34,2)</x:f>
        <x:v>200</x:v>
      </x:c>
      <x:c r="G34" s="79" t="n">
        <x:v>1000</x:v>
      </x:c>
      <x:c r="H34" s="79" t="n">
        <x:v>500</x:v>
      </x:c>
      <x:c r="I34" s="79" t="n">
        <x:v>500</x:v>
      </x:c>
      <x:c r="J34" s="79" t="n">
        <x:v>500</x:v>
      </x:c>
      <x:c r="K34" s="79" t="n">
        <x:v>500</x:v>
      </x:c>
      <x:c r="L34" s="79" t="n">
        <x:v>500</x:v>
      </x:c>
      <x:c r="M34" s="79" t="n">
        <x:v>500</x:v>
      </x:c>
      <x:c r="N34" s="79" t="n">
        <x:v>500</x:v>
      </x:c>
      <x:c r="O34" s="79" t="n">
        <x:v>500</x:v>
      </x:c>
      <x:c r="P34" s="79" t="n">
        <x:v>0</x:v>
      </x:c>
      <x:c r="Q34" s="79">
        <x:f>SUM(D34:P34)</x:f>
        <x:v>5704.55</x:v>
      </x:c>
    </x:row>
    <x:row r="35">
      <x:c r="A35" s="10" t="inlineStr">
        <x:is>
          <x:t xml:space="preserve">02100121</x:t>
        </x:is>
      </x:c>
      <x:c r="B35" s="10" t="inlineStr">
        <x:is>
          <x:t xml:space="preserve">Fritzyl D. Lorico</x:t>
        </x:is>
      </x:c>
      <x:c r="C35" s="91" t="n">
        <x:v>22000</x:v>
      </x:c>
      <x:c r="D35" s="79">
        <x:f>ROUND(('Special Holiday'!F35*($C35/22/8)*0.3),2)</x:f>
        <x:v>525</x:v>
      </x:c>
      <x:c r="E35" s="79">
        <x:f>ROUND(('Total Hours - Summary'!U35*($C35/22/8)*0.1),2)</x:f>
        <x:v>150</x:v>
      </x:c>
      <x:c r="F35" s="79">
        <x:f>ROUND('Total Hours - Summary'!V35,2)</x:f>
        <x:v>500</x:v>
      </x:c>
      <x:c r="G35" s="79" t="n">
        <x:v>1000</x:v>
      </x:c>
      <x:c r="H35" s="79" t="n">
        <x:v>500</x:v>
      </x:c>
      <x:c r="I35" s="79" t="n">
        <x:v>500</x:v>
      </x:c>
      <x:c r="J35" s="79" t="n">
        <x:v>500</x:v>
      </x:c>
      <x:c r="K35" s="79" t="n">
        <x:v>500</x:v>
      </x:c>
      <x:c r="L35" s="79" t="n">
        <x:v>500</x:v>
      </x:c>
      <x:c r="M35" s="79" t="n">
        <x:v>500</x:v>
      </x:c>
      <x:c r="N35" s="79" t="n">
        <x:v>500</x:v>
      </x:c>
      <x:c r="O35" s="79" t="n">
        <x:v>500</x:v>
      </x:c>
      <x:c r="P35" s="79" t="n">
        <x:v>0</x:v>
      </x:c>
      <x:c r="Q35" s="79">
        <x:f>SUM(D35:P35)</x:f>
        <x:v>6175</x:v>
      </x:c>
    </x:row>
    <x:row r="36">
      <x:c r="A36" s="10" t="inlineStr">
        <x:is>
          <x:t xml:space="preserve">02100295</x:t>
        </x:is>
      </x:c>
      <x:c r="B36" s="10" t="inlineStr">
        <x:is>
          <x:t xml:space="preserve">Genil Silva</x:t>
        </x:is>
      </x:c>
      <x:c r="C36" s="91" t="n">
        <x:v>21000</x:v>
      </x:c>
      <x:c r="D36" s="79">
        <x:f>ROUND(('Special Holiday'!F36*($C36/22/8)*0.3),2)</x:f>
        <x:v>286.36</x:v>
      </x:c>
      <x:c r="E36" s="79">
        <x:f>ROUND(('Total Hours - Summary'!U36*($C36/22/8)*0.1),2)</x:f>
        <x:v>0</x:v>
      </x:c>
      <x:c r="F36" s="79">
        <x:f>ROUND('Total Hours - Summary'!V36,2)</x:f>
        <x:v>0</x:v>
      </x:c>
      <x:c r="G36" s="79" t="n">
        <x:v>1000</x:v>
      </x:c>
      <x:c r="H36" s="79" t="n">
        <x:v>500</x:v>
      </x:c>
      <x:c r="I36" s="79" t="n">
        <x:v>500</x:v>
      </x:c>
      <x:c r="J36" s="79" t="n">
        <x:v>500</x:v>
      </x:c>
      <x:c r="K36" s="79" t="n">
        <x:v>500</x:v>
      </x:c>
      <x:c r="L36" s="79" t="n">
        <x:v>500</x:v>
      </x:c>
      <x:c r="M36" s="79" t="n">
        <x:v>500</x:v>
      </x:c>
      <x:c r="N36" s="79" t="n">
        <x:v>500</x:v>
      </x:c>
      <x:c r="O36" s="79" t="n">
        <x:v>500</x:v>
      </x:c>
      <x:c r="P36" s="79" t="n">
        <x:v>0</x:v>
      </x:c>
      <x:c r="Q36" s="79">
        <x:f>SUM(D36:P36)</x:f>
        <x:v>5286.360000000001</x:v>
      </x:c>
    </x:row>
    <x:row r="37">
      <x:c r="A37" s="10" t="inlineStr">
        <x:is>
          <x:t xml:space="preserve">01100123</x:t>
        </x:is>
      </x:c>
      <x:c r="B37" s="10" t="inlineStr">
        <x:is>
          <x:t xml:space="preserve">Gerra Rose Fajardo</x:t>
        </x:is>
      </x:c>
      <x:c r="C37" s="91" t="n">
        <x:v>18000</x:v>
      </x:c>
      <x:c r="D37" s="79">
        <x:f>ROUND(('Special Holiday'!F37*($C37/22/8)*0.3),2)</x:f>
        <x:v>245.45</x:v>
      </x:c>
      <x:c r="E37" s="79">
        <x:f>ROUND(('Total Hours - Summary'!U37*($C37/22/8)*0.1),2)</x:f>
        <x:v>81.82</x:v>
      </x:c>
      <x:c r="F37" s="79">
        <x:f>ROUND('Total Hours - Summary'!V37,2)</x:f>
        <x:v>0</x:v>
      </x:c>
      <x:c r="G37" s="79" t="n">
        <x:v>1000</x:v>
      </x:c>
      <x:c r="H37" s="79" t="n">
        <x:v>500</x:v>
      </x:c>
      <x:c r="I37" s="79" t="n">
        <x:v>500</x:v>
      </x:c>
      <x:c r="J37" s="79" t="n">
        <x:v>500</x:v>
      </x:c>
      <x:c r="K37" s="79" t="n">
        <x:v>500</x:v>
      </x:c>
      <x:c r="L37" s="79" t="n">
        <x:v>500</x:v>
      </x:c>
      <x:c r="M37" s="79" t="n">
        <x:v>500</x:v>
      </x:c>
      <x:c r="N37" s="79" t="n">
        <x:v>500</x:v>
      </x:c>
      <x:c r="O37" s="79" t="n">
        <x:v>500</x:v>
      </x:c>
      <x:c r="P37" s="79" t="n">
        <x:v>0</x:v>
      </x:c>
      <x:c r="Q37" s="79">
        <x:f>SUM(D37:P37)</x:f>
        <x:v>5327.27</x:v>
      </x:c>
    </x:row>
    <x:row r="38">
      <x:c r="A38" s="10" t="inlineStr">
        <x:is>
          <x:t xml:space="preserve">01100222</x:t>
        </x:is>
      </x:c>
      <x:c r="B38" s="10" t="inlineStr">
        <x:is>
          <x:t xml:space="preserve">Glenn Oplado</x:t>
        </x:is>
      </x:c>
      <x:c r="C38" s="91" t="n">
        <x:v>16000</x:v>
      </x:c>
      <x:c r="D38" s="79">
        <x:f>ROUND(('Special Holiday'!F38*($C38/22/8)*0.3),2)</x:f>
        <x:v>381.82</x:v>
      </x:c>
      <x:c r="E38" s="79">
        <x:f>ROUND(('Total Hours - Summary'!U38*($C38/22/8)*0.1),2)</x:f>
        <x:v>145.45</x:v>
      </x:c>
      <x:c r="F38" s="79">
        <x:f>ROUND('Total Hours - Summary'!V38,2)</x:f>
        <x:v>0</x:v>
      </x:c>
      <x:c r="G38" s="79" t="n">
        <x:v>1000</x:v>
      </x:c>
      <x:c r="H38" s="79" t="n">
        <x:v>500</x:v>
      </x:c>
      <x:c r="I38" s="79" t="n">
        <x:v>500</x:v>
      </x:c>
      <x:c r="J38" s="79" t="n">
        <x:v>500</x:v>
      </x:c>
      <x:c r="K38" s="79" t="n">
        <x:v>500</x:v>
      </x:c>
      <x:c r="L38" s="79" t="n">
        <x:v>500</x:v>
      </x:c>
      <x:c r="M38" s="79" t="n">
        <x:v>500</x:v>
      </x:c>
      <x:c r="N38" s="79" t="n">
        <x:v>500</x:v>
      </x:c>
      <x:c r="O38" s="79" t="n">
        <x:v>500</x:v>
      </x:c>
      <x:c r="P38" s="79" t="n">
        <x:v>0</x:v>
      </x:c>
      <x:c r="Q38" s="79">
        <x:f>SUM(D38:P38)</x:f>
        <x:v>5527.27</x:v>
      </x:c>
    </x:row>
    <x:row r="39">
      <x:c r="A39" s="10" t="inlineStr">
        <x:is>
          <x:t xml:space="preserve">02100127</x:t>
        </x:is>
      </x:c>
      <x:c r="B39" s="10" t="inlineStr">
        <x:is>
          <x:t xml:space="preserve">Hannah Jane Villegas Nocete</x:t>
        </x:is>
      </x:c>
      <x:c r="C39" s="91" t="n">
        <x:v>15000</x:v>
      </x:c>
      <x:c r="D39" s="79">
        <x:f>ROUND(('Special Holiday'!F39*($C39/22/8)*0.3),2)</x:f>
        <x:v>409.09</x:v>
      </x:c>
      <x:c r="E39" s="79">
        <x:f>ROUND(('Total Hours - Summary'!U39*($C39/22/8)*0.1),2)</x:f>
        <x:v>0</x:v>
      </x:c>
      <x:c r="F39" s="79">
        <x:f>ROUND('Total Hours - Summary'!V39,2)</x:f>
        <x:v>0</x:v>
      </x:c>
      <x:c r="G39" s="79" t="n">
        <x:v>1000</x:v>
      </x:c>
      <x:c r="H39" s="79" t="n">
        <x:v>500</x:v>
      </x:c>
      <x:c r="I39" s="79" t="n">
        <x:v>500</x:v>
      </x:c>
      <x:c r="J39" s="79" t="n">
        <x:v>500</x:v>
      </x:c>
      <x:c r="K39" s="79" t="n">
        <x:v>500</x:v>
      </x:c>
      <x:c r="L39" s="79" t="n">
        <x:v>500</x:v>
      </x:c>
      <x:c r="M39" s="79" t="n">
        <x:v>500</x:v>
      </x:c>
      <x:c r="N39" s="79" t="n">
        <x:v>500</x:v>
      </x:c>
      <x:c r="O39" s="79" t="n">
        <x:v>500</x:v>
      </x:c>
      <x:c r="P39" s="79" t="n">
        <x:v>0</x:v>
      </x:c>
      <x:c r="Q39" s="79">
        <x:f>SUM(D39:P39)</x:f>
        <x:v>5409.09</x:v>
      </x:c>
    </x:row>
    <x:row r="40">
      <x:c r="A40" s="10" t="inlineStr">
        <x:is>
          <x:t xml:space="preserve">02100128</x:t>
        </x:is>
      </x:c>
      <x:c r="B40" s="10" t="inlineStr">
        <x:is>
          <x:t xml:space="preserve">Harlley D. Alos</x:t>
        </x:is>
      </x:c>
      <x:c r="C40" s="91" t="n">
        <x:v>21000</x:v>
      </x:c>
      <x:c r="D40" s="79">
        <x:f>ROUND(('Special Holiday'!F40*($C40/22/8)*0.3),2)</x:f>
        <x:v>429.55</x:v>
      </x:c>
      <x:c r="E40" s="79">
        <x:f>ROUND(('Total Hours - Summary'!U40*($C40/22/8)*0.1),2)</x:f>
        <x:v>190.91</x:v>
      </x:c>
      <x:c r="F40" s="79">
        <x:f>ROUND('Total Hours - Summary'!V40,2)</x:f>
        <x:v>0</x:v>
      </x:c>
      <x:c r="G40" s="79" t="n">
        <x:v>1000</x:v>
      </x:c>
      <x:c r="H40" s="79" t="n">
        <x:v>500</x:v>
      </x:c>
      <x:c r="I40" s="79" t="n">
        <x:v>500</x:v>
      </x:c>
      <x:c r="J40" s="79" t="n">
        <x:v>500</x:v>
      </x:c>
      <x:c r="K40" s="79" t="n">
        <x:v>500</x:v>
      </x:c>
      <x:c r="L40" s="79" t="n">
        <x:v>500</x:v>
      </x:c>
      <x:c r="M40" s="79" t="n">
        <x:v>500</x:v>
      </x:c>
      <x:c r="N40" s="79" t="n">
        <x:v>500</x:v>
      </x:c>
      <x:c r="O40" s="79" t="n">
        <x:v>500</x:v>
      </x:c>
      <x:c r="P40" s="79" t="n">
        <x:v>0</x:v>
      </x:c>
      <x:c r="Q40" s="79">
        <x:f>SUM(D40:P40)</x:f>
        <x:v>5620.46</x:v>
      </x:c>
    </x:row>
    <x:row r="41">
      <x:c r="A41" s="10" t="inlineStr">
        <x:is>
          <x:t xml:space="preserve">02100202</x:t>
        </x:is>
      </x:c>
      <x:c r="B41" s="10" t="inlineStr">
        <x:is>
          <x:t xml:space="preserve">Heide Camuta</x:t>
        </x:is>
      </x:c>
      <x:c r="C41" s="91" t="n">
        <x:v>18500</x:v>
      </x:c>
      <x:c r="D41" s="79">
        <x:f>ROUND(('Special Holiday'!F41*($C41/22/8)*0.3),2)</x:f>
        <x:v>441.48</x:v>
      </x:c>
      <x:c r="E41" s="79">
        <x:f>ROUND(('Total Hours - Summary'!U41*($C41/22/8)*0.1),2)</x:f>
        <x:v>168.18</x:v>
      </x:c>
      <x:c r="F41" s="79">
        <x:f>ROUND('Total Hours - Summary'!V41,2)</x:f>
        <x:v>1200</x:v>
      </x:c>
      <x:c r="G41" s="79" t="n">
        <x:v>1000</x:v>
      </x:c>
      <x:c r="H41" s="79" t="n">
        <x:v>500</x:v>
      </x:c>
      <x:c r="I41" s="79" t="n">
        <x:v>500</x:v>
      </x:c>
      <x:c r="J41" s="79" t="n">
        <x:v>500</x:v>
      </x:c>
      <x:c r="K41" s="79" t="n">
        <x:v>500</x:v>
      </x:c>
      <x:c r="L41" s="79" t="n">
        <x:v>500</x:v>
      </x:c>
      <x:c r="M41" s="79" t="n">
        <x:v>500</x:v>
      </x:c>
      <x:c r="N41" s="79" t="n">
        <x:v>500</x:v>
      </x:c>
      <x:c r="O41" s="79" t="n">
        <x:v>500</x:v>
      </x:c>
      <x:c r="P41" s="79" t="n">
        <x:v>0</x:v>
      </x:c>
      <x:c r="Q41" s="79">
        <x:f>SUM(D41:P41)</x:f>
        <x:v>6809.66</x:v>
      </x:c>
    </x:row>
    <x:row r="42">
      <x:c r="A42" s="10" t="inlineStr">
        <x:is>
          <x:t xml:space="preserve">01100129</x:t>
        </x:is>
      </x:c>
      <x:c r="B42" s="10" t="inlineStr">
        <x:is>
          <x:t xml:space="preserve">Ingrid Irene Garcia</x:t>
        </x:is>
      </x:c>
      <x:c r="C42" s="91" t="n">
        <x:v>17500</x:v>
      </x:c>
      <x:c r="D42" s="79">
        <x:f>ROUND(('Special Holiday'!F42*($C42/22/8)*0.3),2)</x:f>
        <x:v>298.3</x:v>
      </x:c>
      <x:c r="E42" s="79">
        <x:f>ROUND(('Total Hours - Summary'!U42*($C42/22/8)*0.1),2)</x:f>
        <x:v>0</x:v>
      </x:c>
      <x:c r="F42" s="79">
        <x:f>ROUND('Total Hours - Summary'!V42,2)</x:f>
        <x:v>0</x:v>
      </x:c>
      <x:c r="G42" s="79" t="n">
        <x:v>1000</x:v>
      </x:c>
      <x:c r="H42" s="79" t="n">
        <x:v>500</x:v>
      </x:c>
      <x:c r="I42" s="79" t="n">
        <x:v>500</x:v>
      </x:c>
      <x:c r="J42" s="79" t="n">
        <x:v>500</x:v>
      </x:c>
      <x:c r="K42" s="79" t="n">
        <x:v>500</x:v>
      </x:c>
      <x:c r="L42" s="79" t="n">
        <x:v>500</x:v>
      </x:c>
      <x:c r="M42" s="79" t="n">
        <x:v>500</x:v>
      </x:c>
      <x:c r="N42" s="79" t="n">
        <x:v>500</x:v>
      </x:c>
      <x:c r="O42" s="79" t="n">
        <x:v>500</x:v>
      </x:c>
      <x:c r="P42" s="79" t="n">
        <x:v>0</x:v>
      </x:c>
      <x:c r="Q42" s="79">
        <x:f>SUM(D42:P42)</x:f>
        <x:v>5298.3</x:v>
      </x:c>
    </x:row>
    <x:row r="43">
      <x:c r="A43" s="10" t="inlineStr">
        <x:is>
          <x:t xml:space="preserve">01100273</x:t>
        </x:is>
      </x:c>
      <x:c r="B43" s="10" t="inlineStr">
        <x:is>
          <x:t xml:space="preserve">Ira Niña Casiño</x:t>
        </x:is>
      </x:c>
      <x:c r="C43" s="91" t="n">
        <x:v>17500</x:v>
      </x:c>
      <x:c r="D43" s="79">
        <x:f>ROUND(('Special Holiday'!F43*($C43/22/8)*0.3),2)</x:f>
        <x:v>477.27</x:v>
      </x:c>
      <x:c r="E43" s="79">
        <x:f>ROUND(('Total Hours - Summary'!U43*($C43/22/8)*0.1),2)</x:f>
        <x:v>119.32</x:v>
      </x:c>
      <x:c r="F43" s="79">
        <x:f>ROUND('Total Hours - Summary'!V43,2)</x:f>
        <x:v>0</x:v>
      </x:c>
      <x:c r="G43" s="79" t="n">
        <x:v>1000</x:v>
      </x:c>
      <x:c r="H43" s="79" t="n">
        <x:v>500</x:v>
      </x:c>
      <x:c r="I43" s="79" t="n">
        <x:v>500</x:v>
      </x:c>
      <x:c r="J43" s="79" t="n">
        <x:v>500</x:v>
      </x:c>
      <x:c r="K43" s="79" t="n">
        <x:v>500</x:v>
      </x:c>
      <x:c r="L43" s="79" t="n">
        <x:v>500</x:v>
      </x:c>
      <x:c r="M43" s="79" t="n">
        <x:v>500</x:v>
      </x:c>
      <x:c r="N43" s="79" t="n">
        <x:v>500</x:v>
      </x:c>
      <x:c r="O43" s="79" t="n">
        <x:v>500</x:v>
      </x:c>
      <x:c r="P43" s="79" t="n">
        <x:v>0</x:v>
      </x:c>
      <x:c r="Q43" s="79">
        <x:f>SUM(D43:P43)</x:f>
        <x:v>5596.59</x:v>
      </x:c>
    </x:row>
    <x:row r="44">
      <x:c r="A44" s="10" t="inlineStr">
        <x:is>
          <x:t xml:space="preserve">02100130</x:t>
        </x:is>
      </x:c>
      <x:c r="B44" s="10" t="inlineStr">
        <x:is>
          <x:t xml:space="preserve">Jafferson Sojor</x:t>
        </x:is>
      </x:c>
      <x:c r="C44" s="91" t="n">
        <x:v>18000</x:v>
      </x:c>
      <x:c r="D44" s="79">
        <x:f>ROUND(('Special Holiday'!F44*($C44/22/8)*0.3),2)</x:f>
        <x:v>429.55</x:v>
      </x:c>
      <x:c r="E44" s="79">
        <x:f>ROUND(('Total Hours - Summary'!U44*($C44/22/8)*0.1),2)</x:f>
        <x:v>81.82</x:v>
      </x:c>
      <x:c r="F44" s="79">
        <x:f>ROUND('Total Hours - Summary'!V44,2)</x:f>
        <x:v>0</x:v>
      </x:c>
      <x:c r="G44" s="79" t="n">
        <x:v>1000</x:v>
      </x:c>
      <x:c r="H44" s="79" t="n">
        <x:v>500</x:v>
      </x:c>
      <x:c r="I44" s="79" t="n">
        <x:v>500</x:v>
      </x:c>
      <x:c r="J44" s="79" t="n">
        <x:v>500</x:v>
      </x:c>
      <x:c r="K44" s="79" t="n">
        <x:v>500</x:v>
      </x:c>
      <x:c r="L44" s="79" t="n">
        <x:v>500</x:v>
      </x:c>
      <x:c r="M44" s="79" t="n">
        <x:v>500</x:v>
      </x:c>
      <x:c r="N44" s="79" t="n">
        <x:v>500</x:v>
      </x:c>
      <x:c r="O44" s="79" t="n">
        <x:v>500</x:v>
      </x:c>
      <x:c r="P44" s="79" t="n">
        <x:v>0</x:v>
      </x:c>
      <x:c r="Q44" s="79">
        <x:f>SUM(D44:P44)</x:f>
        <x:v>5511.37</x:v>
      </x:c>
    </x:row>
    <x:row r="45">
      <x:c r="A45" s="10" t="inlineStr">
        <x:is>
          <x:t xml:space="preserve">01100131</x:t>
        </x:is>
      </x:c>
      <x:c r="B45" s="10" t="inlineStr">
        <x:is>
          <x:t xml:space="preserve">James Anthony Adolfo</x:t>
        </x:is>
      </x:c>
      <x:c r="C45" s="91" t="n">
        <x:v>17000</x:v>
      </x:c>
      <x:c r="D45" s="79">
        <x:f>ROUND(('Special Holiday'!F45*($C45/22/8)*0.3),2)</x:f>
        <x:v>347.73</x:v>
      </x:c>
      <x:c r="E45" s="79">
        <x:f>ROUND(('Total Hours - Summary'!U45*($C45/22/8)*0.1),2)</x:f>
        <x:v>154.55</x:v>
      </x:c>
      <x:c r="F45" s="79">
        <x:f>ROUND('Total Hours - Summary'!V45,2)</x:f>
        <x:v>0</x:v>
      </x:c>
      <x:c r="G45" s="79" t="n">
        <x:v>1000</x:v>
      </x:c>
      <x:c r="H45" s="79" t="n">
        <x:v>500</x:v>
      </x:c>
      <x:c r="I45" s="79" t="n">
        <x:v>500</x:v>
      </x:c>
      <x:c r="J45" s="79" t="n">
        <x:v>500</x:v>
      </x:c>
      <x:c r="K45" s="79" t="n">
        <x:v>500</x:v>
      </x:c>
      <x:c r="L45" s="79" t="n">
        <x:v>500</x:v>
      </x:c>
      <x:c r="M45" s="79" t="n">
        <x:v>500</x:v>
      </x:c>
      <x:c r="N45" s="79" t="n">
        <x:v>500</x:v>
      </x:c>
      <x:c r="O45" s="79" t="n">
        <x:v>500</x:v>
      </x:c>
      <x:c r="P45" s="79" t="n">
        <x:v>0</x:v>
      </x:c>
      <x:c r="Q45" s="79">
        <x:f>SUM(D45:P45)</x:f>
        <x:v>5502.28</x:v>
      </x:c>
    </x:row>
    <x:row r="46">
      <x:c r="A46" s="10" t="inlineStr">
        <x:is>
          <x:t xml:space="preserve">02100132</x:t>
        </x:is>
      </x:c>
      <x:c r="B46" s="10" t="inlineStr">
        <x:is>
          <x:t xml:space="preserve">James Mitchell E. Monares</x:t>
        </x:is>
      </x:c>
      <x:c r="C46" s="91" t="n">
        <x:v>14500</x:v>
      </x:c>
      <x:c r="D46" s="79">
        <x:f>ROUND(('Special Holiday'!F46*($C46/22/8)*0.3),2)</x:f>
        <x:v>98.86</x:v>
      </x:c>
      <x:c r="E46" s="79">
        <x:f>ROUND(('Total Hours - Summary'!U46*($C46/22/8)*0.1),2)</x:f>
        <x:v>32.95</x:v>
      </x:c>
      <x:c r="F46" s="79">
        <x:f>ROUND('Total Hours - Summary'!V46,2)</x:f>
        <x:v>0</x:v>
      </x:c>
      <x:c r="G46" s="79" t="n">
        <x:v>1000</x:v>
      </x:c>
      <x:c r="H46" s="79" t="n">
        <x:v>500</x:v>
      </x:c>
      <x:c r="I46" s="79" t="n">
        <x:v>500</x:v>
      </x:c>
      <x:c r="J46" s="79" t="n">
        <x:v>500</x:v>
      </x:c>
      <x:c r="K46" s="79" t="n">
        <x:v>500</x:v>
      </x:c>
      <x:c r="L46" s="79" t="n">
        <x:v>500</x:v>
      </x:c>
      <x:c r="M46" s="79" t="n">
        <x:v>500</x:v>
      </x:c>
      <x:c r="N46" s="79" t="n">
        <x:v>500</x:v>
      </x:c>
      <x:c r="O46" s="79" t="n">
        <x:v>500</x:v>
      </x:c>
      <x:c r="P46" s="79" t="n">
        <x:v>0</x:v>
      </x:c>
      <x:c r="Q46" s="79">
        <x:f>SUM(D46:P46)</x:f>
        <x:v>5131.8099999999995</x:v>
      </x:c>
    </x:row>
    <x:row r="47">
      <x:c r="A47" s="10" t="inlineStr">
        <x:is>
          <x:t xml:space="preserve">02100133</x:t>
        </x:is>
      </x:c>
      <x:c r="B47" s="10" t="inlineStr">
        <x:is>
          <x:t xml:space="preserve">Janely Nayon</x:t>
        </x:is>
      </x:c>
      <x:c r="C47" s="91" t="n">
        <x:v>14500</x:v>
      </x:c>
      <x:c r="D47" s="79">
        <x:f>ROUND(('Special Holiday'!F47*($C47/22/8)*0.3),2)</x:f>
        <x:v>197.73</x:v>
      </x:c>
      <x:c r="E47" s="79">
        <x:f>ROUND(('Total Hours - Summary'!U47*($C47/22/8)*0.1),2)</x:f>
        <x:v>197.73</x:v>
      </x:c>
      <x:c r="F47" s="79">
        <x:f>ROUND('Total Hours - Summary'!V47,2)</x:f>
        <x:v>0</x:v>
      </x:c>
      <x:c r="G47" s="79" t="n">
        <x:v>1000</x:v>
      </x:c>
      <x:c r="H47" s="79" t="n">
        <x:v>500</x:v>
      </x:c>
      <x:c r="I47" s="79" t="n">
        <x:v>500</x:v>
      </x:c>
      <x:c r="J47" s="79" t="n">
        <x:v>500</x:v>
      </x:c>
      <x:c r="K47" s="79" t="n">
        <x:v>500</x:v>
      </x:c>
      <x:c r="L47" s="79" t="n">
        <x:v>500</x:v>
      </x:c>
      <x:c r="M47" s="79" t="n">
        <x:v>500</x:v>
      </x:c>
      <x:c r="N47" s="79" t="n">
        <x:v>500</x:v>
      </x:c>
      <x:c r="O47" s="79" t="n">
        <x:v>500</x:v>
      </x:c>
      <x:c r="P47" s="79" t="n">
        <x:v>0</x:v>
      </x:c>
      <x:c r="Q47" s="79">
        <x:f>SUM(D47:P47)</x:f>
        <x:v>5395.46</x:v>
      </x:c>
    </x:row>
    <x:row r="48">
      <x:c r="A48" s="10" t="inlineStr">
        <x:is>
          <x:t xml:space="preserve">01200134</x:t>
        </x:is>
      </x:c>
      <x:c r="B48" s="10" t="inlineStr">
        <x:is>
          <x:t xml:space="preserve">Jarren Legaspino</x:t>
        </x:is>
      </x:c>
      <x:c r="C48" s="91" t="n">
        <x:v>16500</x:v>
      </x:c>
      <x:c r="D48" s="79">
        <x:f>ROUND(('Special Holiday'!F48*($C48/22/8)*0.3),2)</x:f>
        <x:v>337.5</x:v>
      </x:c>
      <x:c r="E48" s="79">
        <x:f>ROUND(('Total Hours - Summary'!U48*($C48/22/8)*0.1),2)</x:f>
        <x:v>112.5</x:v>
      </x:c>
      <x:c r="F48" s="79">
        <x:f>ROUND('Total Hours - Summary'!V48,2)</x:f>
        <x:v>0</x:v>
      </x:c>
      <x:c r="G48" s="79" t="n">
        <x:v>1000</x:v>
      </x:c>
      <x:c r="H48" s="79" t="n">
        <x:v>500</x:v>
      </x:c>
      <x:c r="I48" s="79" t="n">
        <x:v>500</x:v>
      </x:c>
      <x:c r="J48" s="79" t="n">
        <x:v>500</x:v>
      </x:c>
      <x:c r="K48" s="79" t="n">
        <x:v>500</x:v>
      </x:c>
      <x:c r="L48" s="79" t="n">
        <x:v>500</x:v>
      </x:c>
      <x:c r="M48" s="79" t="n">
        <x:v>500</x:v>
      </x:c>
      <x:c r="N48" s="79" t="n">
        <x:v>500</x:v>
      </x:c>
      <x:c r="O48" s="79" t="n">
        <x:v>500</x:v>
      </x:c>
      <x:c r="P48" s="79" t="n">
        <x:v>0</x:v>
      </x:c>
      <x:c r="Q48" s="79">
        <x:f>SUM(D48:P48)</x:f>
        <x:v>5450</x:v>
      </x:c>
    </x:row>
    <x:row r="49">
      <x:c r="A49" s="10" t="inlineStr">
        <x:is>
          <x:t xml:space="preserve">01100254</x:t>
        </x:is>
      </x:c>
      <x:c r="B49" s="10" t="inlineStr">
        <x:is>
          <x:t xml:space="preserve">Jay Michael Decepolo</x:t>
        </x:is>
      </x:c>
      <x:c r="C49" s="91" t="n">
        <x:v>15500</x:v>
      </x:c>
      <x:c r="D49" s="79">
        <x:f>ROUND(('Special Holiday'!F49*($C49/22/8)*0.3),2)</x:f>
        <x:v>317.05</x:v>
      </x:c>
      <x:c r="E49" s="79">
        <x:f>ROUND(('Total Hours - Summary'!U49*($C49/22/8)*0.1),2)</x:f>
        <x:v>211.36</x:v>
      </x:c>
      <x:c r="F49" s="79">
        <x:f>ROUND('Total Hours - Summary'!V49,2)</x:f>
        <x:v>0</x:v>
      </x:c>
      <x:c r="G49" s="79" t="n">
        <x:v>1000</x:v>
      </x:c>
      <x:c r="H49" s="79" t="n">
        <x:v>500</x:v>
      </x:c>
      <x:c r="I49" s="79" t="n">
        <x:v>500</x:v>
      </x:c>
      <x:c r="J49" s="79" t="n">
        <x:v>500</x:v>
      </x:c>
      <x:c r="K49" s="79" t="n">
        <x:v>500</x:v>
      </x:c>
      <x:c r="L49" s="79" t="n">
        <x:v>500</x:v>
      </x:c>
      <x:c r="M49" s="79" t="n">
        <x:v>500</x:v>
      </x:c>
      <x:c r="N49" s="79" t="n">
        <x:v>500</x:v>
      </x:c>
      <x:c r="O49" s="79" t="n">
        <x:v>500</x:v>
      </x:c>
      <x:c r="P49" s="79" t="n">
        <x:v>0</x:v>
      </x:c>
      <x:c r="Q49" s="79">
        <x:f>SUM(D49:P49)</x:f>
        <x:v>5528.41</x:v>
      </x:c>
    </x:row>
    <x:row r="50">
      <x:c r="A50" s="10" t="inlineStr">
        <x:is>
          <x:t xml:space="preserve">02100135</x:t>
        </x:is>
      </x:c>
      <x:c r="B50" s="10" t="inlineStr">
        <x:is>
          <x:t xml:space="preserve">Jay Pee Antinero</x:t>
        </x:is>
      </x:c>
      <x:c r="C50" s="91" t="n">
        <x:v>21000</x:v>
      </x:c>
      <x:c r="D50" s="79">
        <x:f>ROUND(('Special Holiday'!F50*($C50/22/8)*0.3),2)</x:f>
        <x:v>572.73</x:v>
      </x:c>
      <x:c r="E50" s="79">
        <x:f>ROUND(('Total Hours - Summary'!U50*($C50/22/8)*0.1),2)</x:f>
        <x:v>95.45</x:v>
      </x:c>
      <x:c r="F50" s="79">
        <x:f>ROUND('Total Hours - Summary'!V50,2)</x:f>
        <x:v>200</x:v>
      </x:c>
      <x:c r="G50" s="79" t="n">
        <x:v>1000</x:v>
      </x:c>
      <x:c r="H50" s="79" t="n">
        <x:v>500</x:v>
      </x:c>
      <x:c r="I50" s="79" t="n">
        <x:v>500</x:v>
      </x:c>
      <x:c r="J50" s="79" t="n">
        <x:v>500</x:v>
      </x:c>
      <x:c r="K50" s="79" t="n">
        <x:v>500</x:v>
      </x:c>
      <x:c r="L50" s="79" t="n">
        <x:v>500</x:v>
      </x:c>
      <x:c r="M50" s="79" t="n">
        <x:v>500</x:v>
      </x:c>
      <x:c r="N50" s="79" t="n">
        <x:v>500</x:v>
      </x:c>
      <x:c r="O50" s="79" t="n">
        <x:v>500</x:v>
      </x:c>
      <x:c r="P50" s="79" t="n">
        <x:v>0</x:v>
      </x:c>
      <x:c r="Q50" s="79">
        <x:f>SUM(D50:P50)</x:f>
        <x:v>5868.18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4.44140625" defaultRowHeight="14.399999618530273"/>
  <x:cols>
    <x:col min="2" max="2" width="29" style="71" customWidth="1"/>
    <x:col min="3" max="3" width="29.33203125" style="71" customWidth="1"/>
    <x:col min="4" max="4" width="42.6640625" style="71" customWidth="1"/>
    <x:col min="5" max="5" width="34.88671875" style="71" customWidth="1"/>
    <x:col min="6" max="6" width="9.6640625" style="71" customWidth="1"/>
    <x:col min="7" max="7" width="11.109375" style="71" customWidth="1"/>
  </x:cols>
  <x:sheetData>
    <x:row r="1">
      <x:c r="A1" s="42" t="inlineStr">
        <x:is>
          <x:t xml:space="preserve">Employee ID</x:t>
        </x:is>
      </x:c>
      <x:c r="B1" s="42" t="inlineStr">
        <x:is>
          <x:t xml:space="preserve">Employee Name</x:t>
        </x:is>
      </x:c>
      <x:c r="C1" s="42" t="inlineStr">
        <x:is>
          <x:t xml:space="preserve">Compensatory Time Off (CTO)</x:t>
        </x:is>
      </x:c>
      <x:c r="D1" s="43" t="inlineStr">
        <x:is>
          <x:t xml:space="preserve">PH Holidays _ Not Working on a Regular holiday</x:t>
        </x:is>
      </x:c>
      <x:c r="E1" s="42" t="inlineStr">
        <x:is>
          <x:t xml:space="preserve">SIL Credit (Additional based on Tenure)</x:t>
        </x:is>
      </x:c>
      <x:c r="F1" s="42" t="inlineStr">
        <x:is>
          <x:t xml:space="preserve">SIL Credits</x:t>
        </x:is>
      </x:c>
      <x:c r="G1" s="7" t="inlineStr">
        <x:is>
          <x:t xml:space="preserve">Grand Total</x:t>
        </x:is>
      </x:c>
    </x:row>
    <x:row r="2">
      <x:c r="A2" s="10" t="inlineStr">
        <x:is>
          <x:t xml:space="preserve">01100240</x:t>
        </x:is>
      </x:c>
      <x:c r="B2" s="5" t="inlineStr">
        <x:is>
          <x:t xml:space="preserve">Abegail Mandras</x:t>
        </x:is>
      </x:c>
      <x:c r="C2" s="12" t="n">
        <x:v>0</x:v>
      </x:c>
      <x:c r="D2" s="12" t="n">
        <x:v>0</x:v>
      </x:c>
      <x:c r="E2" s="12" t="n">
        <x:v>0</x:v>
      </x:c>
      <x:c r="F2" s="12" t="n">
        <x:v>8</x:v>
      </x:c>
      <x:c r="G2" s="12">
        <x:f>SUM(C2:F2)</x:f>
        <x:v>8</x:v>
      </x:c>
    </x:row>
    <x:row r="3">
      <x:c r="A3" s="10" t="inlineStr">
        <x:is>
          <x:t xml:space="preserve">01100277</x:t>
        </x:is>
      </x:c>
      <x:c r="B3" s="5" t="inlineStr">
        <x:is>
          <x:t xml:space="preserve">Adrian Lawat</x:t>
        </x:is>
      </x:c>
      <x:c r="C3" s="12" t="n">
        <x:v>0</x:v>
      </x:c>
      <x:c r="D3" s="12" t="n">
        <x:v>0</x:v>
      </x:c>
      <x:c r="E3" s="12" t="n">
        <x:v>0</x:v>
      </x:c>
      <x:c r="F3" s="12" t="n">
        <x:v>8</x:v>
      </x:c>
      <x:c r="G3" s="12">
        <x:f>SUM(C3:F3)</x:f>
        <x:v>8</x:v>
      </x:c>
    </x:row>
    <x:row r="4">
      <x:c r="A4" s="10" t="inlineStr">
        <x:is>
          <x:t xml:space="preserve">02100100</x:t>
        </x:is>
      </x:c>
      <x:c r="B4" s="5" t="inlineStr">
        <x:is>
          <x:t xml:space="preserve">Aillen Joy Largo</x:t>
        </x:is>
      </x:c>
      <x:c r="C4" s="12" t="n">
        <x:v>0</x:v>
      </x:c>
      <x:c r="D4" s="12" t="n">
        <x:v>0</x:v>
      </x:c>
      <x:c r="E4" s="12" t="n">
        <x:v>0</x:v>
      </x:c>
      <x:c r="F4" s="12" t="n">
        <x:v>8</x:v>
      </x:c>
      <x:c r="G4" s="12">
        <x:f>SUM(C4:F4)</x:f>
        <x:v>8</x:v>
      </x:c>
    </x:row>
    <x:row r="5">
      <x:c r="A5" s="10" t="inlineStr">
        <x:is>
          <x:t xml:space="preserve">01100328</x:t>
        </x:is>
      </x:c>
      <x:c r="B5" s="5" t="inlineStr">
        <x:is>
          <x:t xml:space="preserve">Al Mario Bahala</x:t>
        </x:is>
      </x:c>
      <x:c r="C5" s="12" t="n">
        <x:v>0</x:v>
      </x:c>
      <x:c r="D5" s="12" t="n">
        <x:v>0</x:v>
      </x:c>
      <x:c r="E5" s="12" t="n">
        <x:v>0</x:v>
      </x:c>
      <x:c r="F5" s="12" t="n">
        <x:v>8</x:v>
      </x:c>
      <x:c r="G5" s="12">
        <x:f>SUM(C5:F5)</x:f>
        <x:v>8</x:v>
      </x:c>
    </x:row>
    <x:row r="6">
      <x:c r="A6" s="10" t="inlineStr">
        <x:is>
          <x:t xml:space="preserve">02100334</x:t>
        </x:is>
      </x:c>
      <x:c r="B6" s="5" t="inlineStr">
        <x:is>
          <x:t xml:space="preserve">Alvin Lozada</x:t>
        </x:is>
      </x:c>
      <x:c r="C6" s="12" t="n">
        <x:v>0</x:v>
      </x:c>
      <x:c r="D6" s="12" t="n">
        <x:v>0</x:v>
      </x:c>
      <x:c r="E6" s="12" t="n">
        <x:v>0</x:v>
      </x:c>
      <x:c r="F6" s="12" t="n">
        <x:v>8</x:v>
      </x:c>
      <x:c r="G6" s="12">
        <x:f>SUM(C6:F6)</x:f>
        <x:v>8</x:v>
      </x:c>
    </x:row>
    <x:row r="7">
      <x:c r="A7" s="10" t="inlineStr">
        <x:is>
          <x:t xml:space="preserve">01100101</x:t>
        </x:is>
      </x:c>
      <x:c r="B7" s="5" t="inlineStr">
        <x:is>
          <x:t xml:space="preserve">Andrea Ceniza</x:t>
        </x:is>
      </x:c>
      <x:c r="C7" s="12" t="n">
        <x:v>0</x:v>
      </x:c>
      <x:c r="D7" s="12" t="n">
        <x:v>0</x:v>
      </x:c>
      <x:c r="E7" s="12" t="n">
        <x:v>0</x:v>
      </x:c>
      <x:c r="F7" s="12" t="n">
        <x:v>8</x:v>
      </x:c>
      <x:c r="G7" s="12">
        <x:f>SUM(C7:F7)</x:f>
        <x:v>8</x:v>
      </x:c>
    </x:row>
    <x:row r="8">
      <x:c r="A8" s="10" t="inlineStr">
        <x:is>
          <x:t xml:space="preserve">02100103</x:t>
        </x:is>
      </x:c>
      <x:c r="B8" s="5" t="inlineStr">
        <x:is>
          <x:t xml:space="preserve">Angelica Paligsa</x:t>
        </x:is>
      </x:c>
      <x:c r="C8" s="12" t="n">
        <x:v>0</x:v>
      </x:c>
      <x:c r="D8" s="12" t="n">
        <x:v>0</x:v>
      </x:c>
      <x:c r="E8" s="12" t="n">
        <x:v>0</x:v>
      </x:c>
      <x:c r="F8" s="12" t="n">
        <x:v>8</x:v>
      </x:c>
      <x:c r="G8" s="12">
        <x:f>SUM(C8:F8)</x:f>
        <x:v>8</x:v>
      </x:c>
    </x:row>
    <x:row r="9">
      <x:c r="A9" s="10" t="inlineStr">
        <x:is>
          <x:t xml:space="preserve">02100104</x:t>
        </x:is>
      </x:c>
      <x:c r="B9" s="5" t="inlineStr">
        <x:is>
          <x:t xml:space="preserve">Ann Lou Minguito</x:t>
        </x:is>
      </x:c>
      <x:c r="C9" s="12" t="n">
        <x:v>0</x:v>
      </x:c>
      <x:c r="D9" s="12" t="n">
        <x:v>0</x:v>
      </x:c>
      <x:c r="E9" s="12" t="n">
        <x:v>0</x:v>
      </x:c>
      <x:c r="F9" s="12" t="n">
        <x:v>0</x:v>
      </x:c>
      <x:c r="G9" s="12">
        <x:f>SUM(C9:F9)</x:f>
        <x:v>0</x:v>
      </x:c>
    </x:row>
    <x:row r="10">
      <x:c r="A10" s="10" t="inlineStr">
        <x:is>
          <x:t xml:space="preserve">02200105</x:t>
        </x:is>
      </x:c>
      <x:c r="B10" s="5" t="inlineStr">
        <x:is>
          <x:t xml:space="preserve">Anna Marie Tabares</x:t>
        </x:is>
      </x:c>
      <x:c r="C10" s="12" t="n">
        <x:v>0</x:v>
      </x:c>
      <x:c r="D10" s="12" t="n">
        <x:v>0</x:v>
      </x:c>
      <x:c r="E10" s="12" t="n">
        <x:v>0</x:v>
      </x:c>
      <x:c r="F10" s="12" t="n">
        <x:v>16</x:v>
      </x:c>
      <x:c r="G10" s="12">
        <x:f>SUM(C10:F10)</x:f>
        <x:v>16</x:v>
      </x:c>
    </x:row>
    <x:row r="11">
      <x:c r="A11" s="10" t="inlineStr">
        <x:is>
          <x:t xml:space="preserve">02100106</x:t>
        </x:is>
      </x:c>
      <x:c r="B11" s="5" t="inlineStr">
        <x:is>
          <x:t xml:space="preserve">Anna Mica Ella Punongbayan</x:t>
        </x:is>
      </x:c>
      <x:c r="C11" s="12" t="n">
        <x:v>0</x:v>
      </x:c>
      <x:c r="D11" s="12" t="n">
        <x:v>0</x:v>
      </x:c>
      <x:c r="E11" s="12" t="n">
        <x:v>0</x:v>
      </x:c>
      <x:c r="F11" s="12" t="n">
        <x:v>16</x:v>
      </x:c>
      <x:c r="G11" s="12">
        <x:f>SUM(C11:F11)</x:f>
        <x:v>16</x:v>
      </x:c>
    </x:row>
    <x:row r="12">
      <x:c r="A12" s="10" t="inlineStr">
        <x:is>
          <x:t xml:space="preserve">02100227</x:t>
        </x:is>
      </x:c>
      <x:c r="B12" s="5" t="inlineStr">
        <x:is>
          <x:t xml:space="preserve">April Jane Elnar</x:t>
        </x:is>
      </x:c>
      <x:c r="C12" s="12" t="n">
        <x:v>0</x:v>
      </x:c>
      <x:c r="D12" s="12" t="n">
        <x:v>0</x:v>
      </x:c>
      <x:c r="E12" s="12" t="n">
        <x:v>0</x:v>
      </x:c>
      <x:c r="F12" s="12" t="n">
        <x:v>8</x:v>
      </x:c>
      <x:c r="G12" s="12">
        <x:f>SUM(C12:F12)</x:f>
        <x:v>8</x:v>
      </x:c>
    </x:row>
    <x:row r="13">
      <x:c r="A13" s="10" t="inlineStr">
        <x:is>
          <x:t xml:space="preserve">02100194</x:t>
        </x:is>
      </x:c>
      <x:c r="B13" s="5" t="inlineStr">
        <x:is>
          <x:t xml:space="preserve">April Sanchez</x:t>
        </x:is>
      </x:c>
      <x:c r="C13" s="12" t="n">
        <x:v>0</x:v>
      </x:c>
      <x:c r="D13" s="12" t="n">
        <x:v>0</x:v>
      </x:c>
      <x:c r="E13" s="12" t="n">
        <x:v>0</x:v>
      </x:c>
      <x:c r="F13" s="12" t="n">
        <x:v>16</x:v>
      </x:c>
      <x:c r="G13" s="12">
        <x:f>SUM(C13:F13)</x:f>
        <x:v>16</x:v>
      </x:c>
    </x:row>
    <x:row r="14">
      <x:c r="A14" s="10" t="inlineStr">
        <x:is>
          <x:t xml:space="preserve">01100218</x:t>
        </x:is>
      </x:c>
      <x:c r="B14" s="5" t="inlineStr">
        <x:is>
          <x:t xml:space="preserve">Aquilyn Dayan A. Adlit</x:t>
        </x:is>
      </x:c>
      <x:c r="C14" s="12" t="n">
        <x:v>0</x:v>
      </x:c>
      <x:c r="D14" s="12" t="n">
        <x:v>0</x:v>
      </x:c>
      <x:c r="E14" s="12" t="n">
        <x:v>0</x:v>
      </x:c>
      <x:c r="F14" s="12" t="n">
        <x:v>4</x:v>
      </x:c>
      <x:c r="G14" s="12">
        <x:f>SUM(C14:F14)</x:f>
        <x:v>4</x:v>
      </x:c>
    </x:row>
    <x:row r="15">
      <x:c r="A15" s="10" t="inlineStr">
        <x:is>
          <x:t xml:space="preserve">02100327</x:t>
        </x:is>
      </x:c>
      <x:c r="B15" s="5" t="inlineStr">
        <x:is>
          <x:t xml:space="preserve">Ardeth James Ortega</x:t>
        </x:is>
      </x:c>
      <x:c r="C15" s="12" t="n">
        <x:v>0</x:v>
      </x:c>
      <x:c r="D15" s="12" t="n">
        <x:v>0</x:v>
      </x:c>
      <x:c r="E15" s="12" t="n">
        <x:v>0</x:v>
      </x:c>
      <x:c r="F15" s="12" t="n">
        <x:v>0</x:v>
      </x:c>
      <x:c r="G15" s="12">
        <x:f>SUM(C15:F15)</x:f>
        <x:v>0</x:v>
      </x:c>
    </x:row>
    <x:row r="16">
      <x:c r="A16" s="10" t="inlineStr">
        <x:is>
          <x:t xml:space="preserve">02100107</x:t>
        </x:is>
      </x:c>
      <x:c r="B16" s="5" t="inlineStr">
        <x:is>
          <x:t xml:space="preserve">Brenda Mae T. Bacurnay</x:t>
        </x:is>
      </x:c>
      <x:c r="C16" s="12" t="n">
        <x:v>0</x:v>
      </x:c>
      <x:c r="D16" s="12" t="n">
        <x:v>0</x:v>
      </x:c>
      <x:c r="E16" s="12" t="n">
        <x:v>0</x:v>
      </x:c>
      <x:c r="F16" s="12" t="n">
        <x:v>8</x:v>
      </x:c>
      <x:c r="G16" s="12">
        <x:f>SUM(C16:F16)</x:f>
        <x:v>8</x:v>
      </x:c>
    </x:row>
    <x:row r="17">
      <x:c r="A17" s="10" t="inlineStr">
        <x:is>
          <x:t xml:space="preserve">01100271</x:t>
        </x:is>
      </x:c>
      <x:c r="B17" s="5" t="inlineStr">
        <x:is>
          <x:t xml:space="preserve">Buenagen Bagundol</x:t>
        </x:is>
      </x:c>
      <x:c r="C17" s="12" t="n">
        <x:v>0</x:v>
      </x:c>
      <x:c r="D17" s="12" t="n">
        <x:v>0</x:v>
      </x:c>
      <x:c r="E17" s="12" t="n">
        <x:v>0</x:v>
      </x:c>
      <x:c r="F17" s="12" t="n">
        <x:v>4</x:v>
      </x:c>
      <x:c r="G17" s="12">
        <x:f>SUM(C17:F17)</x:f>
        <x:v>4</x:v>
      </x:c>
    </x:row>
    <x:row r="18">
      <x:c r="A18" s="10" t="inlineStr">
        <x:is>
          <x:t xml:space="preserve">01100108</x:t>
        </x:is>
      </x:c>
      <x:c r="B18" s="5" t="inlineStr">
        <x:is>
          <x:t xml:space="preserve">Camela Torrate</x:t>
        </x:is>
      </x:c>
      <x:c r="C18" s="12" t="n">
        <x:v>0</x:v>
      </x:c>
      <x:c r="D18" s="12" t="n">
        <x:v>0</x:v>
      </x:c>
      <x:c r="E18" s="12" t="n">
        <x:v>0</x:v>
      </x:c>
      <x:c r="F18" s="12" t="n">
        <x:v>0</x:v>
      </x:c>
      <x:c r="G18" s="12">
        <x:f>SUM(C18:F18)</x:f>
        <x:v>0</x:v>
      </x:c>
    </x:row>
    <x:row r="19">
      <x:c r="A19" s="10" t="inlineStr">
        <x:is>
          <x:t xml:space="preserve">02100109</x:t>
        </x:is>
      </x:c>
      <x:c r="B19" s="5" t="inlineStr">
        <x:is>
          <x:t xml:space="preserve">Candice Kate Velasco</x:t>
        </x:is>
      </x:c>
      <x:c r="C19" s="12" t="n">
        <x:v>0</x:v>
      </x:c>
      <x:c r="D19" s="12" t="n">
        <x:v>0</x:v>
      </x:c>
      <x:c r="E19" s="12" t="n">
        <x:v>0</x:v>
      </x:c>
      <x:c r="F19" s="12" t="n">
        <x:v>8</x:v>
      </x:c>
      <x:c r="G19" s="12">
        <x:f>SUM(C19:F19)</x:f>
        <x:v>8</x:v>
      </x:c>
    </x:row>
    <x:row r="20">
      <x:c r="A20" s="10" t="inlineStr">
        <x:is>
          <x:t xml:space="preserve">02100294</x:t>
        </x:is>
      </x:c>
      <x:c r="B20" s="5" t="inlineStr">
        <x:is>
          <x:t xml:space="preserve">Carlo John Rubio</x:t>
        </x:is>
      </x:c>
      <x:c r="C20" s="12" t="n">
        <x:v>0</x:v>
      </x:c>
      <x:c r="D20" s="12" t="n">
        <x:v>0</x:v>
      </x:c>
      <x:c r="E20" s="12" t="n">
        <x:v>0</x:v>
      </x:c>
      <x:c r="F20" s="12" t="n">
        <x:v>8</x:v>
      </x:c>
      <x:c r="G20" s="12">
        <x:f>SUM(C20:F20)</x:f>
        <x:v>8</x:v>
      </x:c>
    </x:row>
    <x:row r="21">
      <x:c r="A21" s="10" t="inlineStr">
        <x:is>
          <x:t xml:space="preserve">01100270</x:t>
        </x:is>
      </x:c>
      <x:c r="B21" s="5" t="inlineStr">
        <x:is>
          <x:t xml:space="preserve">Catherine Vergara</x:t>
        </x:is>
      </x:c>
      <x:c r="C21" s="12" t="n">
        <x:v>0</x:v>
      </x:c>
      <x:c r="D21" s="12" t="n">
        <x:v>0</x:v>
      </x:c>
      <x:c r="E21" s="12" t="n">
        <x:v>0</x:v>
      </x:c>
      <x:c r="F21" s="12" t="n">
        <x:v>8</x:v>
      </x:c>
      <x:c r="G21" s="12">
        <x:f>SUM(C21:F21)</x:f>
        <x:v>8</x:v>
      </x:c>
    </x:row>
    <x:row r="22">
      <x:c r="A22" s="10" t="inlineStr">
        <x:is>
          <x:t xml:space="preserve">01100220</x:t>
        </x:is>
      </x:c>
      <x:c r="B22" s="5" t="inlineStr">
        <x:is>
          <x:t xml:space="preserve">Christian Pagobo</x:t>
        </x:is>
      </x:c>
      <x:c r="C22" s="12" t="n">
        <x:v>0</x:v>
      </x:c>
      <x:c r="D22" s="12" t="n">
        <x:v>0</x:v>
      </x:c>
      <x:c r="E22" s="12" t="n">
        <x:v>0</x:v>
      </x:c>
      <x:c r="F22" s="12" t="n">
        <x:v>8</x:v>
      </x:c>
      <x:c r="G22" s="12">
        <x:f>SUM(C22:F22)</x:f>
        <x:v>8</x:v>
      </x:c>
    </x:row>
    <x:row r="23">
      <x:c r="A23" s="10" t="inlineStr">
        <x:is>
          <x:t xml:space="preserve">01100112</x:t>
        </x:is>
      </x:c>
      <x:c r="B23" s="5" t="inlineStr">
        <x:is>
          <x:t xml:space="preserve">Crislyn Cuizon</x:t>
        </x:is>
      </x:c>
      <x:c r="C23" s="12" t="n">
        <x:v>0</x:v>
      </x:c>
      <x:c r="D23" s="12" t="n">
        <x:v>0</x:v>
      </x:c>
      <x:c r="E23" s="12" t="n">
        <x:v>0</x:v>
      </x:c>
      <x:c r="F23" s="12" t="n">
        <x:v>16</x:v>
      </x:c>
      <x:c r="G23" s="12">
        <x:f>SUM(C23:F23)</x:f>
        <x:v>16</x:v>
      </x:c>
    </x:row>
    <x:row r="24">
      <x:c r="A24" s="10" t="inlineStr">
        <x:is>
          <x:t xml:space="preserve">01100329</x:t>
        </x:is>
      </x:c>
      <x:c r="B24" s="5" t="inlineStr">
        <x:is>
          <x:t xml:space="preserve">Cyriline Vergara</x:t>
        </x:is>
      </x:c>
      <x:c r="C24" s="12" t="n">
        <x:v>0</x:v>
      </x:c>
      <x:c r="D24" s="12" t="n">
        <x:v>0</x:v>
      </x:c>
      <x:c r="E24" s="12" t="n">
        <x:v>0</x:v>
      </x:c>
      <x:c r="F24" s="12" t="n">
        <x:v>32</x:v>
      </x:c>
      <x:c r="G24" s="12">
        <x:f>SUM(C24:F24)</x:f>
        <x:v>32</x:v>
      </x:c>
    </x:row>
    <x:row r="25">
      <x:c r="A25" s="10" t="inlineStr">
        <x:is>
          <x:t xml:space="preserve">01100113</x:t>
        </x:is>
      </x:c>
      <x:c r="B25" s="5" t="inlineStr">
        <x:is>
          <x:t xml:space="preserve">Demie Marie Medalle</x:t>
        </x:is>
      </x:c>
      <x:c r="C25" s="12" t="n">
        <x:v>0</x:v>
      </x:c>
      <x:c r="D25" s="12" t="n">
        <x:v>0</x:v>
      </x:c>
      <x:c r="E25" s="12" t="n">
        <x:v>0</x:v>
      </x:c>
      <x:c r="F25" s="12" t="n">
        <x:v>4</x:v>
      </x:c>
      <x:c r="G25" s="12">
        <x:f>SUM(C25:F25)</x:f>
        <x:v>4</x:v>
      </x:c>
    </x:row>
    <x:row r="26">
      <x:c r="A26" s="10" t="inlineStr">
        <x:is>
          <x:t xml:space="preserve">01100115</x:t>
        </x:is>
      </x:c>
      <x:c r="B26" s="5" t="inlineStr">
        <x:is>
          <x:t xml:space="preserve">Dharlene G. Bendanillo</x:t>
        </x:is>
      </x:c>
      <x:c r="C26" s="12" t="n">
        <x:v>0</x:v>
      </x:c>
      <x:c r="D26" s="12" t="n">
        <x:v>0</x:v>
      </x:c>
      <x:c r="E26" s="12" t="n">
        <x:v>0</x:v>
      </x:c>
      <x:c r="F26" s="12" t="n">
        <x:v>24</x:v>
      </x:c>
      <x:c r="G26" s="12">
        <x:f>SUM(C26:F26)</x:f>
        <x:v>24</x:v>
      </x:c>
    </x:row>
    <x:row r="27">
      <x:c r="A27" s="10" t="inlineStr">
        <x:is>
          <x:t xml:space="preserve">01100116</x:t>
        </x:is>
      </x:c>
      <x:c r="B27" s="5" t="inlineStr">
        <x:is>
          <x:t xml:space="preserve">Donald Bacanaya</x:t>
        </x:is>
      </x:c>
      <x:c r="C27" s="12" t="n">
        <x:v>0</x:v>
      </x:c>
      <x:c r="D27" s="12" t="n">
        <x:v>0</x:v>
      </x:c>
      <x:c r="E27" s="12" t="n">
        <x:v>0</x:v>
      </x:c>
      <x:c r="F27" s="12" t="n">
        <x:v>16</x:v>
      </x:c>
      <x:c r="G27" s="12">
        <x:f>SUM(C27:F27)</x:f>
        <x:v>16</x:v>
      </x:c>
    </x:row>
    <x:row r="28">
      <x:c r="A28" s="10" t="inlineStr">
        <x:is>
          <x:t xml:space="preserve">01100253</x:t>
        </x:is>
      </x:c>
      <x:c r="B28" s="53" t="inlineStr">
        <x:is>
          <x:t xml:space="preserve">Ericka Dorreen Amores - Abejero</x:t>
        </x:is>
      </x:c>
      <x:c r="C28" s="54" t="n">
        <x:v>0</x:v>
      </x:c>
      <x:c r="D28" s="54" t="n">
        <x:v>0</x:v>
      </x:c>
      <x:c r="E28" s="54" t="n">
        <x:v>0</x:v>
      </x:c>
      <x:c r="F28" s="54" t="n">
        <x:v>252</x:v>
      </x:c>
      <x:c r="G28" s="54">
        <x:f>SUM(C28:F28)</x:f>
        <x:v>252</x:v>
      </x:c>
    </x:row>
    <x:row r="29">
      <x:c r="A29" s="10" t="inlineStr">
        <x:is>
          <x:t xml:space="preserve">02100117</x:t>
        </x:is>
      </x:c>
      <x:c r="B29" s="5" t="inlineStr">
        <x:is>
          <x:t xml:space="preserve">Ernesto F. Roquin Jr.</x:t>
        </x:is>
      </x:c>
      <x:c r="C29" s="12" t="n">
        <x:v>0</x:v>
      </x:c>
      <x:c r="D29" s="12" t="n">
        <x:v>0</x:v>
      </x:c>
      <x:c r="E29" s="12" t="n">
        <x:v>0</x:v>
      </x:c>
      <x:c r="F29" s="12" t="n">
        <x:v>0</x:v>
      </x:c>
      <x:c r="G29" s="12">
        <x:f>SUM(C29:F29)</x:f>
        <x:v>0</x:v>
      </x:c>
    </x:row>
    <x:row r="30">
      <x:c r="A30" s="10" t="inlineStr">
        <x:is>
          <x:t xml:space="preserve">01100118</x:t>
        </x:is>
      </x:c>
      <x:c r="B30" s="5" t="inlineStr">
        <x:is>
          <x:t xml:space="preserve">Fame Diez</x:t>
        </x:is>
      </x:c>
      <x:c r="C30" s="12" t="n">
        <x:v>0</x:v>
      </x:c>
      <x:c r="D30" s="12" t="n">
        <x:v>0</x:v>
      </x:c>
      <x:c r="E30" s="12" t="n">
        <x:v>0</x:v>
      </x:c>
      <x:c r="F30" s="12" t="n">
        <x:v>0</x:v>
      </x:c>
      <x:c r="G30" s="12">
        <x:f>SUM(C30:F30)</x:f>
        <x:v>0</x:v>
      </x:c>
    </x:row>
    <x:row r="31">
      <x:c r="A31" s="10" t="inlineStr">
        <x:is>
          <x:t xml:space="preserve">01100221</x:t>
        </x:is>
      </x:c>
      <x:c r="B31" s="5" t="inlineStr">
        <x:is>
          <x:t xml:space="preserve">Farrah Jean Vildosola</x:t>
        </x:is>
      </x:c>
      <x:c r="C31" s="12" t="n">
        <x:v>0</x:v>
      </x:c>
      <x:c r="D31" s="12" t="n">
        <x:v>0</x:v>
      </x:c>
      <x:c r="E31" s="12" t="n">
        <x:v>0</x:v>
      </x:c>
      <x:c r="F31" s="12" t="n">
        <x:v>0</x:v>
      </x:c>
      <x:c r="G31" s="44">
        <x:f>SUM(C31:F31)</x:f>
        <x:v>0</x:v>
      </x:c>
    </x:row>
    <x:row r="32">
      <x:c r="A32" s="10" t="inlineStr">
        <x:is>
          <x:t xml:space="preserve">02100119</x:t>
        </x:is>
      </x:c>
      <x:c r="B32" s="5" t="inlineStr">
        <x:is>
          <x:t xml:space="preserve">Ferreh Jane Vilos</x:t>
        </x:is>
      </x:c>
      <x:c r="C32" s="12" t="n">
        <x:v>0</x:v>
      </x:c>
      <x:c r="D32" s="12" t="n">
        <x:v>0</x:v>
      </x:c>
      <x:c r="E32" s="12" t="n">
        <x:v>0</x:v>
      </x:c>
      <x:c r="F32" s="12" t="n">
        <x:v>0</x:v>
      </x:c>
      <x:c r="G32">
        <x:f>SUM(C32:F32)</x:f>
        <x:v>0</x:v>
      </x:c>
    </x:row>
    <x:row r="33">
      <x:c r="A33" s="55" t="inlineStr">
        <x:is>
          <x:t xml:space="preserve">02100120</x:t>
        </x:is>
      </x:c>
      <x:c r="B33" s="55" t="inlineStr">
        <x:is>
          <x:t xml:space="preserve">Flint Kaynon Balmadres</x:t>
        </x:is>
      </x:c>
      <x:c r="C33" s="56" t="n">
        <x:v>0</x:v>
      </x:c>
      <x:c r="D33" s="56" t="n">
        <x:v>0</x:v>
      </x:c>
      <x:c r="E33" s="56" t="n">
        <x:v>0</x:v>
      </x:c>
      <x:c r="F33" s="56" t="n">
        <x:v>0</x:v>
      </x:c>
      <x:c r="G33">
        <x:f>SUM(C33:F33)</x:f>
        <x:v>0</x:v>
      </x:c>
    </x:row>
    <x:row r="34">
      <x:c r="A34" s="10" t="inlineStr">
        <x:is>
          <x:t xml:space="preserve">01100217</x:t>
        </x:is>
      </x:c>
      <x:c r="B34" s="5" t="inlineStr">
        <x:is>
          <x:t xml:space="preserve">Franklyn Jay Talisic</x:t>
        </x:is>
      </x:c>
      <x:c r="C34" s="12" t="n">
        <x:v>0</x:v>
      </x:c>
      <x:c r="D34" s="12" t="n">
        <x:v>0</x:v>
      </x:c>
      <x:c r="E34" s="12" t="n">
        <x:v>0</x:v>
      </x:c>
      <x:c r="F34" s="12" t="n">
        <x:v>0</x:v>
      </x:c>
      <x:c r="G34">
        <x:f>SUM(C34:F34)</x:f>
        <x:v>0</x:v>
      </x:c>
    </x:row>
    <x:row r="35">
      <x:c r="A35" s="10" t="inlineStr">
        <x:is>
          <x:t xml:space="preserve">02100121</x:t>
        </x:is>
      </x:c>
      <x:c r="B35" s="6" t="inlineStr">
        <x:is>
          <x:t xml:space="preserve">Fritzyl D. Lorico</x:t>
        </x:is>
      </x:c>
      <x:c r="C35" s="19" t="n">
        <x:v>0</x:v>
      </x:c>
      <x:c r="D35" s="19" t="n">
        <x:v>0</x:v>
      </x:c>
      <x:c r="E35" s="6" t="n">
        <x:v>0</x:v>
      </x:c>
      <x:c r="F35" s="6" t="n">
        <x:v>0</x:v>
      </x:c>
      <x:c r="G35" s="6">
        <x:f>SUM(C35:F35)</x:f>
        <x:v>0</x:v>
      </x:c>
      <x:c r="H35" s="23" t="n"/>
      <x:c r="I35" s="6" t="n"/>
      <x:c r="J35" s="20" t="n"/>
      <x:c r="K35" s="21" t="n"/>
      <x:c r="L35" s="6" t="n"/>
      <x:c r="M35" s="23" t="n"/>
      <x:c r="N35" s="6" t="n"/>
      <x:c r="O35" s="6" t="n"/>
      <x:c r="P35" s="6" t="n"/>
      <x:c r="Q35" s="6" t="n"/>
      <x:c r="R35" s="6" t="n"/>
    </x:row>
    <x:row r="36">
      <x:c r="A36" s="10" t="inlineStr">
        <x:is>
          <x:t xml:space="preserve">02100295</x:t>
        </x:is>
      </x:c>
      <x:c r="B36" s="6" t="inlineStr">
        <x:is>
          <x:t xml:space="preserve">Genil Silva</x:t>
        </x:is>
      </x:c>
      <x:c r="C36" s="19" t="n">
        <x:v>0</x:v>
      </x:c>
      <x:c r="D36" s="19" t="n">
        <x:v>0</x:v>
      </x:c>
      <x:c r="E36" s="6" t="n">
        <x:v>0</x:v>
      </x:c>
      <x:c r="F36" s="6" t="n">
        <x:v>0</x:v>
      </x:c>
      <x:c r="G36" s="6">
        <x:f>SUM(C36:F36)</x:f>
        <x:v>0</x:v>
      </x:c>
      <x:c r="H36" s="23" t="n"/>
      <x:c r="I36" s="6" t="n"/>
      <x:c r="J36" s="20" t="n"/>
      <x:c r="K36" s="21" t="n"/>
      <x:c r="L36" s="6" t="n"/>
      <x:c r="M36" s="23" t="n"/>
      <x:c r="N36" s="6" t="n"/>
      <x:c r="O36" s="6" t="n"/>
      <x:c r="P36" s="6" t="n"/>
      <x:c r="Q36" s="6" t="n"/>
      <x:c r="R36" s="6" t="n"/>
    </x:row>
    <x:row r="37">
      <x:c r="A37" s="10" t="inlineStr">
        <x:is>
          <x:t xml:space="preserve">01100123</x:t>
        </x:is>
      </x:c>
      <x:c r="B37" s="6" t="inlineStr">
        <x:is>
          <x:t xml:space="preserve">Gerra Rose Fajardo</x:t>
        </x:is>
      </x:c>
      <x:c r="C37" s="19" t="n">
        <x:v>0</x:v>
      </x:c>
      <x:c r="D37" s="19" t="n">
        <x:v>0</x:v>
      </x:c>
      <x:c r="E37" s="6" t="n">
        <x:v>0</x:v>
      </x:c>
      <x:c r="F37" s="6" t="n">
        <x:v>0</x:v>
      </x:c>
      <x:c r="G37" s="6">
        <x:f>SUM(C37:F37)</x:f>
        <x:v>0</x:v>
      </x:c>
      <x:c r="H37" s="23" t="n"/>
      <x:c r="I37" s="6" t="n"/>
      <x:c r="J37" s="20" t="n"/>
      <x:c r="K37" s="21" t="n"/>
      <x:c r="L37" s="6" t="n"/>
      <x:c r="M37" s="23" t="n"/>
      <x:c r="N37" s="6" t="n"/>
      <x:c r="O37" s="6" t="n"/>
      <x:c r="P37" s="6" t="n"/>
      <x:c r="Q37" s="6" t="n"/>
      <x:c r="R37" s="6" t="n"/>
    </x:row>
    <x:row r="38">
      <x:c r="A38" s="10" t="inlineStr">
        <x:is>
          <x:t xml:space="preserve">01100222</x:t>
        </x:is>
      </x:c>
      <x:c r="B38" s="6" t="inlineStr">
        <x:is>
          <x:t xml:space="preserve">Glenn Oplado</x:t>
        </x:is>
      </x:c>
      <x:c r="C38" s="19" t="n">
        <x:v>0</x:v>
      </x:c>
      <x:c r="D38" s="19" t="n">
        <x:v>0</x:v>
      </x:c>
      <x:c r="E38" s="6" t="n">
        <x:v>0</x:v>
      </x:c>
      <x:c r="F38" s="6" t="n">
        <x:v>0</x:v>
      </x:c>
      <x:c r="G38" s="6">
        <x:f>SUM(C38:F38)</x:f>
        <x:v>0</x:v>
      </x:c>
      <x:c r="H38" s="23" t="n"/>
      <x:c r="I38" s="6" t="n"/>
      <x:c r="J38" s="20" t="n"/>
      <x:c r="K38" s="21" t="n"/>
      <x:c r="L38" s="6" t="n"/>
      <x:c r="M38" s="23" t="n"/>
      <x:c r="N38" s="6" t="n"/>
      <x:c r="O38" s="6" t="n"/>
      <x:c r="P38" s="6" t="n"/>
      <x:c r="Q38" s="6" t="n"/>
      <x:c r="R38" s="6" t="n"/>
    </x:row>
    <x:row r="39">
      <x:c r="A39" s="10" t="inlineStr">
        <x:is>
          <x:t xml:space="preserve">02100127</x:t>
        </x:is>
      </x:c>
      <x:c r="B39" s="6" t="inlineStr">
        <x:is>
          <x:t xml:space="preserve">Hannah Jane Villegas Nocete</x:t>
        </x:is>
      </x:c>
      <x:c r="C39" s="92" t="n">
        <x:v>0</x:v>
      </x:c>
      <x:c r="D39" s="22" t="n">
        <x:v>0</x:v>
      </x:c>
      <x:c r="E39" s="6" t="n">
        <x:v>0</x:v>
      </x:c>
      <x:c r="F39" s="6" t="n">
        <x:v>0</x:v>
      </x:c>
      <x:c r="G39" s="6">
        <x:f>SUM(C39:F39)</x:f>
        <x:v>0</x:v>
      </x:c>
      <x:c r="H39" s="23" t="n"/>
      <x:c r="I39" s="6" t="n"/>
      <x:c r="J39" s="20" t="n"/>
      <x:c r="K39" s="21" t="n"/>
      <x:c r="L39" s="6" t="n"/>
      <x:c r="M39" s="23" t="n"/>
      <x:c r="N39" s="6" t="n"/>
      <x:c r="O39" s="6" t="n"/>
      <x:c r="P39" s="6" t="n"/>
      <x:c r="Q39" s="6" t="n"/>
      <x:c r="R39" s="6" t="n"/>
    </x:row>
    <x:row r="40">
      <x:c r="A40" s="10" t="inlineStr">
        <x:is>
          <x:t xml:space="preserve">02100128</x:t>
        </x:is>
      </x:c>
      <x:c r="B40" s="6" t="inlineStr">
        <x:is>
          <x:t xml:space="preserve">Harlley D. Alos</x:t>
        </x:is>
      </x:c>
      <x:c r="C40" s="92" t="n">
        <x:v>0</x:v>
      </x:c>
      <x:c r="D40" s="22" t="n">
        <x:v>0</x:v>
      </x:c>
      <x:c r="E40" s="6" t="n">
        <x:v>0</x:v>
      </x:c>
      <x:c r="F40" s="6" t="n">
        <x:v>0</x:v>
      </x:c>
      <x:c r="G40" s="6">
        <x:f>SUM(C40:F40)</x:f>
        <x:v>0</x:v>
      </x:c>
      <x:c r="H40" s="23" t="n"/>
      <x:c r="I40" s="6" t="n"/>
      <x:c r="J40" s="20" t="n"/>
      <x:c r="K40" s="21" t="n"/>
      <x:c r="L40" s="6" t="n"/>
      <x:c r="M40" s="23" t="n"/>
      <x:c r="N40" s="6" t="n"/>
      <x:c r="O40" s="6" t="n"/>
      <x:c r="P40" s="6" t="n"/>
      <x:c r="Q40" s="6" t="n"/>
      <x:c r="R40" s="6" t="n"/>
    </x:row>
    <x:row r="41">
      <x:c r="A41" s="10" t="inlineStr">
        <x:is>
          <x:t xml:space="preserve">02100202</x:t>
        </x:is>
      </x:c>
      <x:c r="B41" s="6" t="inlineStr">
        <x:is>
          <x:t xml:space="preserve">Heide Camuta</x:t>
        </x:is>
      </x:c>
      <x:c r="C41" s="92" t="n">
        <x:v>0</x:v>
      </x:c>
      <x:c r="D41" s="22" t="n">
        <x:v>0</x:v>
      </x:c>
      <x:c r="E41" s="6" t="n">
        <x:v>0</x:v>
      </x:c>
      <x:c r="F41" s="6" t="n">
        <x:v>0</x:v>
      </x:c>
      <x:c r="G41" s="6">
        <x:f>SUM(C41:F41)</x:f>
        <x:v>0</x:v>
      </x:c>
      <x:c r="H41" s="23" t="n"/>
      <x:c r="I41" s="6" t="n"/>
      <x:c r="J41" s="20" t="n"/>
      <x:c r="K41" s="21" t="n"/>
      <x:c r="L41" s="6" t="n"/>
      <x:c r="M41" s="23" t="n"/>
      <x:c r="N41" s="6" t="n"/>
      <x:c r="O41" s="6" t="n"/>
      <x:c r="P41" s="6" t="n"/>
      <x:c r="Q41" s="6" t="n"/>
      <x:c r="R41" s="6" t="n"/>
    </x:row>
    <x:row r="42">
      <x:c r="A42" s="10" t="inlineStr">
        <x:is>
          <x:t xml:space="preserve">01100129</x:t>
        </x:is>
      </x:c>
      <x:c r="B42" s="6" t="inlineStr">
        <x:is>
          <x:t xml:space="preserve">Ingrid Irene Garcia</x:t>
        </x:is>
      </x:c>
      <x:c r="C42" s="92" t="n">
        <x:v>0</x:v>
      </x:c>
      <x:c r="D42" s="22" t="n">
        <x:v>0</x:v>
      </x:c>
      <x:c r="E42" s="6" t="n">
        <x:v>0</x:v>
      </x:c>
      <x:c r="F42" s="6" t="n">
        <x:v>0</x:v>
      </x:c>
      <x:c r="G42" s="6">
        <x:f>SUM(C42:F42)</x:f>
        <x:v>0</x:v>
      </x:c>
      <x:c r="H42" s="23" t="n"/>
      <x:c r="I42" s="6" t="n"/>
      <x:c r="J42" s="20" t="n"/>
      <x:c r="K42" s="21" t="n"/>
      <x:c r="L42" s="6" t="n"/>
      <x:c r="M42" s="23" t="n"/>
      <x:c r="N42" s="6" t="n"/>
      <x:c r="O42" s="6" t="n"/>
      <x:c r="P42" s="6" t="n"/>
      <x:c r="Q42" s="6" t="n"/>
      <x:c r="R42" s="6" t="n"/>
    </x:row>
    <x:row r="43">
      <x:c r="A43" s="10" t="inlineStr">
        <x:is>
          <x:t xml:space="preserve">01100273</x:t>
        </x:is>
      </x:c>
      <x:c r="B43" s="6" t="inlineStr">
        <x:is>
          <x:t xml:space="preserve">Ira Niña Casiño</x:t>
        </x:is>
      </x:c>
      <x:c r="C43" s="92" t="n">
        <x:v>0</x:v>
      </x:c>
      <x:c r="D43" s="22" t="n">
        <x:v>0</x:v>
      </x:c>
      <x:c r="E43" s="6" t="n">
        <x:v>0</x:v>
      </x:c>
      <x:c r="F43" s="6" t="n">
        <x:v>0</x:v>
      </x:c>
      <x:c r="G43" s="6">
        <x:f>SUM(C43:F43)</x:f>
        <x:v>0</x:v>
      </x:c>
      <x:c r="H43" s="23" t="n"/>
      <x:c r="I43" s="6" t="n"/>
      <x:c r="J43" s="20" t="n"/>
      <x:c r="K43" s="21" t="n"/>
      <x:c r="L43" s="6" t="n"/>
      <x:c r="M43" s="23" t="n"/>
      <x:c r="N43" s="6" t="n"/>
      <x:c r="O43" s="6" t="n"/>
      <x:c r="P43" s="6" t="n"/>
      <x:c r="Q43" s="6" t="n"/>
      <x:c r="R43" s="6" t="n"/>
    </x:row>
    <x:row r="44">
      <x:c r="A44" s="10" t="inlineStr">
        <x:is>
          <x:t xml:space="preserve">02100130</x:t>
        </x:is>
      </x:c>
      <x:c r="B44" s="6" t="inlineStr">
        <x:is>
          <x:t xml:space="preserve">Jafferson Sojor</x:t>
        </x:is>
      </x:c>
      <x:c r="C44" s="92" t="n">
        <x:v>0</x:v>
      </x:c>
      <x:c r="D44" s="22" t="n">
        <x:v>0</x:v>
      </x:c>
      <x:c r="E44" s="6" t="n">
        <x:v>0</x:v>
      </x:c>
      <x:c r="F44" s="6" t="n">
        <x:v>0</x:v>
      </x:c>
      <x:c r="G44" s="6">
        <x:f>SUM(C44:F44)</x:f>
        <x:v>0</x:v>
      </x:c>
      <x:c r="H44" s="23" t="n"/>
      <x:c r="I44" s="6" t="n"/>
      <x:c r="J44" s="20" t="n"/>
      <x:c r="K44" s="21" t="n"/>
      <x:c r="L44" s="6" t="n"/>
      <x:c r="M44" s="23" t="n"/>
      <x:c r="N44" s="6" t="n"/>
      <x:c r="O44" s="6" t="n"/>
      <x:c r="P44" s="6" t="n"/>
      <x:c r="Q44" s="6" t="n"/>
      <x:c r="R44" s="6" t="n"/>
    </x:row>
    <x:row r="45">
      <x:c r="A45" s="10" t="inlineStr">
        <x:is>
          <x:t xml:space="preserve">01100131</x:t>
        </x:is>
      </x:c>
      <x:c r="B45" s="6" t="inlineStr">
        <x:is>
          <x:t xml:space="preserve">James Anthony Adolfo</x:t>
        </x:is>
      </x:c>
      <x:c r="C45" s="92" t="n">
        <x:v>0</x:v>
      </x:c>
      <x:c r="D45" s="22" t="n">
        <x:v>0</x:v>
      </x:c>
      <x:c r="E45" s="6" t="n">
        <x:v>0</x:v>
      </x:c>
      <x:c r="F45" s="6" t="n">
        <x:v>0</x:v>
      </x:c>
      <x:c r="G45" s="6">
        <x:f>SUM(C45:F45)</x:f>
        <x:v>0</x:v>
      </x:c>
      <x:c r="H45" s="23" t="n"/>
      <x:c r="I45" s="6" t="n"/>
      <x:c r="J45" s="20" t="n"/>
      <x:c r="K45" s="21" t="n"/>
      <x:c r="L45" s="6" t="n"/>
      <x:c r="M45" s="23" t="n"/>
      <x:c r="N45" s="6" t="n"/>
      <x:c r="O45" s="6" t="n"/>
      <x:c r="P45" s="6" t="n"/>
      <x:c r="Q45" s="6" t="n"/>
      <x:c r="R45" s="6" t="n"/>
    </x:row>
    <x:row r="46">
      <x:c r="A46" s="10" t="inlineStr">
        <x:is>
          <x:t xml:space="preserve">02100132</x:t>
        </x:is>
      </x:c>
      <x:c r="B46" s="6" t="inlineStr">
        <x:is>
          <x:t xml:space="preserve">James Mitchell E. Monares</x:t>
        </x:is>
      </x:c>
      <x:c r="C46" s="92" t="n">
        <x:v>0</x:v>
      </x:c>
      <x:c r="D46" s="22" t="n">
        <x:v>0</x:v>
      </x:c>
      <x:c r="E46" s="6" t="n">
        <x:v>0</x:v>
      </x:c>
      <x:c r="F46" s="6" t="n">
        <x:v>0</x:v>
      </x:c>
      <x:c r="G46" s="6">
        <x:f>SUM(C46:F46)</x:f>
        <x:v>0</x:v>
      </x:c>
      <x:c r="H46" s="23" t="n"/>
      <x:c r="I46" s="6" t="n"/>
      <x:c r="J46" s="20" t="n"/>
      <x:c r="K46" s="21" t="n"/>
      <x:c r="L46" s="6" t="n"/>
      <x:c r="M46" s="23" t="n"/>
      <x:c r="N46" s="6" t="n"/>
      <x:c r="O46" s="6" t="n"/>
      <x:c r="P46" s="6" t="n"/>
      <x:c r="Q46" s="6" t="n"/>
      <x:c r="R46" s="6" t="n"/>
    </x:row>
    <x:row r="47">
      <x:c r="A47" s="10" t="inlineStr">
        <x:is>
          <x:t xml:space="preserve">02100133</x:t>
        </x:is>
      </x:c>
      <x:c r="B47" s="6" t="inlineStr">
        <x:is>
          <x:t xml:space="preserve">Janely Nayon</x:t>
        </x:is>
      </x:c>
      <x:c r="C47" s="92" t="n">
        <x:v>0</x:v>
      </x:c>
      <x:c r="D47" s="22" t="n">
        <x:v>0</x:v>
      </x:c>
      <x:c r="E47" s="6" t="n">
        <x:v>0</x:v>
      </x:c>
      <x:c r="F47" s="6" t="n">
        <x:v>0</x:v>
      </x:c>
      <x:c r="G47" s="6">
        <x:f>SUM(C47:F47)</x:f>
        <x:v>0</x:v>
      </x:c>
      <x:c r="H47" s="23" t="n"/>
      <x:c r="I47" s="6" t="n"/>
      <x:c r="J47" s="20" t="n"/>
      <x:c r="K47" s="21" t="n"/>
      <x:c r="L47" s="6" t="n"/>
      <x:c r="M47" s="23" t="n"/>
      <x:c r="N47" s="6" t="n"/>
      <x:c r="O47" s="6" t="n"/>
      <x:c r="P47" s="6" t="n"/>
      <x:c r="Q47" s="6" t="n"/>
      <x:c r="R47" s="6" t="n"/>
    </x:row>
    <x:row r="48">
      <x:c r="A48" s="10" t="inlineStr">
        <x:is>
          <x:t xml:space="preserve">01200134</x:t>
        </x:is>
      </x:c>
      <x:c r="B48" s="6" t="inlineStr">
        <x:is>
          <x:t xml:space="preserve">Jarren Legaspino</x:t>
        </x:is>
      </x:c>
      <x:c r="C48" s="92" t="n">
        <x:v>0</x:v>
      </x:c>
      <x:c r="D48" s="22" t="n">
        <x:v>0</x:v>
      </x:c>
      <x:c r="E48" s="6" t="n">
        <x:v>0</x:v>
      </x:c>
      <x:c r="F48" s="6" t="n">
        <x:v>0</x:v>
      </x:c>
      <x:c r="G48" s="6">
        <x:f>SUM(C48:F48)</x:f>
        <x:v>0</x:v>
      </x:c>
      <x:c r="H48" s="23" t="n"/>
      <x:c r="I48" s="6" t="n"/>
      <x:c r="J48" s="20" t="n"/>
      <x:c r="K48" s="21" t="n"/>
      <x:c r="L48" s="6" t="n"/>
      <x:c r="M48" s="23" t="n"/>
      <x:c r="N48" s="6" t="n"/>
      <x:c r="O48" s="6" t="n"/>
      <x:c r="P48" s="6" t="n"/>
      <x:c r="Q48" s="6" t="n"/>
      <x:c r="R48" s="6" t="n"/>
    </x:row>
    <x:row r="49">
      <x:c r="A49" s="10" t="inlineStr">
        <x:is>
          <x:t xml:space="preserve">01100254</x:t>
        </x:is>
      </x:c>
      <x:c r="B49" s="6" t="inlineStr">
        <x:is>
          <x:t xml:space="preserve">Jay Michael Decepolo</x:t>
        </x:is>
      </x:c>
      <x:c r="C49" s="92" t="n">
        <x:v>0</x:v>
      </x:c>
      <x:c r="D49" s="22" t="n">
        <x:v>0</x:v>
      </x:c>
      <x:c r="E49" s="6" t="n">
        <x:v>0</x:v>
      </x:c>
      <x:c r="F49" s="6" t="n">
        <x:v>0</x:v>
      </x:c>
      <x:c r="G49" s="6">
        <x:f>SUM(C49:F49)</x:f>
        <x:v>0</x:v>
      </x:c>
      <x:c r="H49" s="23" t="n"/>
      <x:c r="I49" s="6" t="n"/>
      <x:c r="J49" s="20" t="n"/>
      <x:c r="K49" s="21" t="n"/>
      <x:c r="L49" s="6" t="n"/>
      <x:c r="M49" s="23" t="n"/>
      <x:c r="N49" s="6" t="n"/>
      <x:c r="O49" s="6" t="n"/>
      <x:c r="P49" s="6" t="n"/>
      <x:c r="Q49" s="6" t="n"/>
      <x:c r="R49" s="6" t="n"/>
    </x:row>
    <x:row r="50">
      <x:c r="A50" s="10" t="inlineStr">
        <x:is>
          <x:t xml:space="preserve">02100135</x:t>
        </x:is>
      </x:c>
      <x:c r="B50" s="6" t="inlineStr">
        <x:is>
          <x:t xml:space="preserve">Jay Pee Antinero</x:t>
        </x:is>
      </x:c>
      <x:c r="C50" s="92" t="n">
        <x:v>0</x:v>
      </x:c>
      <x:c r="D50" s="22" t="n">
        <x:v>0</x:v>
      </x:c>
      <x:c r="E50" s="6" t="n">
        <x:v>0</x:v>
      </x:c>
      <x:c r="F50" s="6" t="n">
        <x:v>0</x:v>
      </x:c>
      <x:c r="G50" s="6">
        <x:f>SUM(C50:F50)</x:f>
        <x:v>0</x:v>
      </x:c>
      <x:c r="H50" s="23" t="n"/>
      <x:c r="I50" s="6" t="n"/>
      <x:c r="J50" s="20" t="n"/>
      <x:c r="K50" s="21" t="n"/>
      <x:c r="L50" s="6" t="n"/>
      <x:c r="M50" s="23" t="n"/>
      <x:c r="N50" s="6" t="n"/>
      <x:c r="O50" s="6" t="n"/>
      <x:c r="P50" s="6" t="n"/>
      <x:c r="Q50" s="6" t="n"/>
      <x:c r="R50" s="6" t="n"/>
    </x:row>
    <x:row r="51">
      <x:c r="A51" s="10" t="n"/>
      <x:c r="B51" s="6" t="n"/>
      <x:c r="C51" s="92" t="n"/>
      <x:c r="D51" s="22" t="n"/>
      <x:c r="E51" s="6" t="n"/>
      <x:c r="F51" s="6" t="n"/>
      <x:c r="G51" s="6" t="n"/>
      <x:c r="H51" s="23" t="n"/>
      <x:c r="I51" s="6" t="n"/>
      <x:c r="J51" s="20" t="n"/>
      <x:c r="K51" s="21" t="n"/>
      <x:c r="L51" s="6" t="n"/>
      <x:c r="M51" s="23" t="n"/>
      <x:c r="N51" s="6" t="n"/>
      <x:c r="O51" s="6" t="n"/>
      <x:c r="P51" s="6" t="n"/>
      <x:c r="Q51" s="6" t="n"/>
      <x:c r="R51" s="6" t="n"/>
    </x:row>
    <x:row r="52">
      <x:c r="A52" s="10" t="n"/>
      <x:c r="B52" s="6" t="n"/>
      <x:c r="C52" s="92" t="n"/>
      <x:c r="D52" s="22" t="n"/>
      <x:c r="E52" s="6" t="n"/>
      <x:c r="F52" s="6" t="n"/>
      <x:c r="G52" s="6" t="n"/>
      <x:c r="H52" s="23" t="n"/>
      <x:c r="I52" s="6" t="n"/>
      <x:c r="J52" s="20" t="n"/>
      <x:c r="K52" s="21" t="n"/>
      <x:c r="L52" s="6" t="n"/>
      <x:c r="M52" s="23" t="n"/>
      <x:c r="N52" s="6" t="n"/>
      <x:c r="O52" s="6" t="n"/>
      <x:c r="P52" s="6" t="n"/>
      <x:c r="Q52" s="6" t="n"/>
      <x:c r="R52" s="6" t="n"/>
    </x:row>
    <x:row r="53">
      <x:c r="A53" s="10" t="n"/>
      <x:c r="B53" s="6" t="n"/>
      <x:c r="C53" s="93" t="n"/>
      <x:c r="D53" s="6" t="n"/>
      <x:c r="E53" s="6" t="n"/>
      <x:c r="F53" s="72" t="n"/>
      <x:c r="H53" s="20" t="n"/>
      <x:c r="I53" s="21" t="n"/>
      <x:c r="J53" s="6" t="n"/>
      <x:c r="K53" s="6" t="n"/>
      <x:c r="L53" s="6" t="n"/>
      <x:c r="M53" s="20" t="n"/>
    </x:row>
    <x:row r="54">
      <x:c r="A54" s="10" t="n"/>
      <x:c r="B54" s="6" t="n"/>
      <x:c r="C54" s="93" t="n"/>
      <x:c r="D54" s="6" t="n"/>
      <x:c r="E54" s="6" t="n"/>
      <x:c r="F54" s="72" t="n"/>
      <x:c r="H54" s="20" t="n"/>
      <x:c r="I54" s="21" t="n"/>
      <x:c r="J54" s="6" t="n"/>
      <x:c r="K54" s="6" t="n"/>
      <x:c r="L54" s="6" t="n"/>
      <x:c r="M54" s="20" t="n"/>
    </x:row>
    <x:row r="55">
      <x:c r="A55" s="10" t="n"/>
      <x:c r="B55" s="6" t="n"/>
      <x:c r="C55" s="93" t="n"/>
      <x:c r="D55" s="6" t="n"/>
      <x:c r="E55" s="6" t="n"/>
      <x:c r="F55" s="72" t="n"/>
      <x:c r="H55" s="20" t="n"/>
      <x:c r="I55" s="21" t="n"/>
      <x:c r="J55" s="6" t="n"/>
      <x:c r="K55" s="6" t="n"/>
      <x:c r="L55" s="6" t="n"/>
      <x:c r="M55" s="20" t="n"/>
    </x:row>
    <x:row r="56">
      <x:c r="A56" s="10" t="n"/>
      <x:c r="B56" s="6" t="n"/>
      <x:c r="C56" s="93" t="n"/>
      <x:c r="D56" s="6" t="n"/>
      <x:c r="E56" s="6" t="n"/>
      <x:c r="F56" s="6" t="n"/>
      <x:c r="G56" s="6" t="n"/>
      <x:c r="H56" s="20" t="n"/>
      <x:c r="I56" s="21" t="n"/>
      <x:c r="J56" s="6" t="n"/>
      <x:c r="K56" s="6" t="n"/>
      <x:c r="L56" s="6" t="n"/>
      <x:c r="M56" s="20" t="n"/>
    </x:row>
    <x:row r="57">
      <x:c r="A57" s="10" t="n"/>
      <x:c r="B57" s="6" t="n"/>
      <x:c r="C57" s="93" t="n"/>
      <x:c r="D57" s="6" t="n"/>
      <x:c r="E57" s="6" t="n"/>
      <x:c r="F57" s="6" t="n"/>
      <x:c r="G57" s="6" t="n"/>
      <x:c r="H57" s="20" t="n"/>
      <x:c r="I57" s="21" t="n"/>
      <x:c r="J57" s="6" t="n"/>
      <x:c r="K57" s="6" t="n"/>
      <x:c r="L57" s="6" t="n"/>
      <x:c r="M57" s="20" t="n"/>
    </x:row>
    <x:row r="58">
      <x:c r="A58" s="10" t="n"/>
      <x:c r="B58" s="6" t="n"/>
      <x:c r="C58" s="93" t="n"/>
      <x:c r="D58" s="6" t="n"/>
      <x:c r="E58" s="6" t="n"/>
      <x:c r="F58" s="6" t="n"/>
      <x:c r="G58" s="6" t="n"/>
      <x:c r="H58" s="20" t="n"/>
      <x:c r="I58" s="21" t="n"/>
      <x:c r="J58" s="6" t="n"/>
      <x:c r="K58" s="6" t="n"/>
      <x:c r="L58" s="6" t="n"/>
      <x:c r="M58" s="20" t="n"/>
    </x:row>
    <x:row r="59">
      <x:c r="A59" s="10" t="n"/>
      <x:c r="B59" s="6" t="n"/>
      <x:c r="C59" s="93" t="n"/>
      <x:c r="D59" s="6" t="n"/>
      <x:c r="E59" s="6" t="n"/>
      <x:c r="F59" s="6" t="n"/>
      <x:c r="G59" s="6" t="n"/>
      <x:c r="H59" s="20" t="n"/>
      <x:c r="I59" s="21" t="n"/>
      <x:c r="J59" s="6" t="n"/>
      <x:c r="K59" s="6" t="n"/>
      <x:c r="L59" s="6" t="n"/>
      <x:c r="M59" s="20" t="n"/>
    </x:row>
    <x:row r="60">
      <x:c r="A60" s="10" t="n"/>
      <x:c r="B60" s="6" t="n"/>
      <x:c r="C60" s="93" t="n"/>
      <x:c r="D60" s="6" t="n"/>
      <x:c r="E60" s="6" t="n"/>
      <x:c r="F60" s="72" t="n"/>
      <x:c r="H60" s="20" t="n"/>
      <x:c r="I60" s="21" t="n"/>
      <x:c r="J60" s="6" t="n"/>
      <x:c r="K60" s="6" t="n"/>
      <x:c r="L60" s="6" t="n"/>
      <x:c r="M60" s="20" t="n"/>
    </x:row>
    <x:row r="61">
      <x:c r="A61" s="10" t="n"/>
      <x:c r="B61" s="6" t="n"/>
      <x:c r="C61" s="93" t="n"/>
      <x:c r="D61" s="6" t="n"/>
      <x:c r="E61" s="6" t="n"/>
      <x:c r="F61" s="72" t="n"/>
      <x:c r="H61" s="20" t="n"/>
      <x:c r="I61" s="21" t="n"/>
      <x:c r="J61" s="6" t="n"/>
      <x:c r="K61" s="6" t="n"/>
      <x:c r="L61" s="6" t="n"/>
      <x:c r="M61" s="20" t="n"/>
    </x:row>
    <x:row r="62">
      <x:c r="A62" s="10" t="n"/>
      <x:c r="B62" s="6" t="n"/>
      <x:c r="C62" s="93" t="n"/>
      <x:c r="D62" s="6" t="n"/>
      <x:c r="E62" s="6" t="n"/>
      <x:c r="F62" s="72" t="n"/>
      <x:c r="H62" s="20" t="n"/>
      <x:c r="I62" s="21" t="n"/>
      <x:c r="J62" s="6" t="n"/>
      <x:c r="K62" s="6" t="n"/>
      <x:c r="L62" s="6" t="n"/>
      <x:c r="M62" s="20" t="n"/>
    </x:row>
    <x:row r="63">
      <x:c r="A63" s="10" t="n"/>
      <x:c r="B63" s="6" t="n"/>
      <x:c r="C63" s="93" t="n"/>
      <x:c r="D63" s="6" t="n"/>
      <x:c r="E63" s="6" t="n"/>
      <x:c r="F63" s="72" t="n"/>
      <x:c r="H63" s="20" t="n"/>
      <x:c r="I63" s="21" t="n"/>
      <x:c r="J63" s="6" t="n"/>
      <x:c r="K63" s="6" t="n"/>
      <x:c r="L63" s="6" t="n"/>
      <x:c r="M63" s="20" t="n"/>
    </x:row>
    <x:row r="64">
      <x:c r="A64" s="10" t="n"/>
      <x:c r="B64" s="6" t="n"/>
      <x:c r="C64" s="93" t="n"/>
      <x:c r="D64" s="6" t="n"/>
      <x:c r="E64" s="6" t="n"/>
      <x:c r="F64" s="72" t="n"/>
      <x:c r="H64" s="20" t="n"/>
      <x:c r="I64" s="21" t="n"/>
      <x:c r="J64" s="6" t="n"/>
      <x:c r="K64" s="6" t="n"/>
      <x:c r="L64" s="6" t="n"/>
      <x:c r="M64" s="20" t="n"/>
    </x:row>
    <x:row r="65">
      <x:c r="A65" s="10" t="n"/>
      <x:c r="B65" s="6" t="n"/>
      <x:c r="C65" s="93" t="n"/>
      <x:c r="D65" s="6" t="n"/>
      <x:c r="E65" s="6" t="n"/>
      <x:c r="F65" s="72" t="n"/>
      <x:c r="H65" s="20" t="n"/>
      <x:c r="I65" s="21" t="n"/>
      <x:c r="J65" s="6" t="n"/>
      <x:c r="K65" s="6" t="n"/>
      <x:c r="L65" s="6" t="n"/>
      <x:c r="M65" s="20" t="n"/>
    </x:row>
    <x:row r="66">
      <x:c r="A66" s="10" t="n"/>
      <x:c r="B66" s="6" t="n"/>
      <x:c r="C66" s="93" t="n"/>
      <x:c r="D66" s="6" t="n"/>
      <x:c r="E66" s="6" t="n"/>
      <x:c r="F66" s="72" t="n"/>
      <x:c r="H66" s="20" t="n"/>
      <x:c r="I66" s="21" t="n"/>
      <x:c r="J66" s="6" t="n"/>
      <x:c r="K66" s="6" t="n"/>
      <x:c r="L66" s="6" t="n"/>
      <x:c r="M66" s="20" t="n"/>
    </x:row>
    <x:row r="67">
      <x:c r="A67" s="10" t="n"/>
      <x:c r="B67" s="6" t="n"/>
      <x:c r="C67" s="93" t="n"/>
      <x:c r="D67" s="6" t="n"/>
      <x:c r="E67" s="6" t="n"/>
      <x:c r="F67" s="72" t="n"/>
      <x:c r="H67" s="20" t="n"/>
      <x:c r="I67" s="21" t="n"/>
      <x:c r="J67" s="6" t="n"/>
      <x:c r="K67" s="6" t="n"/>
      <x:c r="L67" s="6" t="n"/>
      <x:c r="M67" s="20" t="n"/>
    </x:row>
    <x:row r="68">
      <x:c r="A68" s="10" t="n"/>
      <x:c r="B68" s="6" t="n"/>
      <x:c r="C68" s="93" t="n"/>
      <x:c r="D68" s="6" t="n"/>
      <x:c r="E68" s="6" t="n"/>
      <x:c r="F68" s="72" t="n"/>
      <x:c r="H68" s="20" t="n"/>
      <x:c r="I68" s="21" t="n"/>
      <x:c r="J68" s="6" t="n"/>
      <x:c r="K68" s="6" t="n"/>
      <x:c r="L68" s="6" t="n"/>
      <x:c r="M68" s="20" t="n"/>
    </x:row>
    <x:row r="69">
      <x:c r="A69" s="10" t="n"/>
      <x:c r="B69" s="6" t="n"/>
      <x:c r="C69" s="93" t="n"/>
      <x:c r="D69" s="6" t="n"/>
      <x:c r="E69" s="6" t="n"/>
      <x:c r="F69" s="72" t="n"/>
      <x:c r="H69" s="20" t="n"/>
      <x:c r="I69" s="21" t="n"/>
      <x:c r="J69" s="6" t="n"/>
      <x:c r="K69" s="6" t="n"/>
      <x:c r="L69" s="6" t="n"/>
      <x:c r="M69" s="20" t="n"/>
    </x:row>
    <x:row r="70">
      <x:c r="A70" s="10" t="n"/>
      <x:c r="B70" s="6" t="n"/>
      <x:c r="C70" s="93" t="n"/>
      <x:c r="D70" s="6" t="n"/>
      <x:c r="E70" s="6" t="n"/>
      <x:c r="F70" s="72" t="n"/>
      <x:c r="H70" s="20" t="n"/>
      <x:c r="I70" s="21" t="n"/>
      <x:c r="J70" s="6" t="n"/>
      <x:c r="K70" s="6" t="n"/>
      <x:c r="L70" s="6" t="n"/>
      <x:c r="M70" s="20" t="n"/>
    </x:row>
    <x:row r="71">
      <x:c r="A71" s="10" t="n"/>
      <x:c r="B71" s="6" t="n"/>
      <x:c r="C71" s="93" t="n"/>
      <x:c r="D71" s="6" t="n"/>
      <x:c r="E71" s="6" t="n"/>
      <x:c r="F71" s="72" t="n"/>
      <x:c r="H71" s="20" t="n"/>
      <x:c r="I71" s="21" t="n"/>
      <x:c r="J71" s="6" t="n"/>
      <x:c r="K71" s="6" t="n"/>
      <x:c r="L71" s="6" t="n"/>
      <x:c r="M71" s="20" t="n"/>
    </x:row>
    <x:row r="72">
      <x:c r="A72" s="10" t="n"/>
      <x:c r="B72" s="6" t="n"/>
      <x:c r="C72" s="93" t="n"/>
      <x:c r="D72" s="6" t="n"/>
      <x:c r="E72" s="6" t="n"/>
      <x:c r="F72" s="72" t="n"/>
      <x:c r="H72" s="20" t="n"/>
      <x:c r="I72" s="21" t="n"/>
      <x:c r="J72" s="6" t="n"/>
      <x:c r="K72" s="6" t="n"/>
      <x:c r="L72" s="6" t="n"/>
      <x:c r="M72" s="20" t="n"/>
    </x:row>
    <x:row r="73">
      <x:c r="A73" s="10" t="n"/>
      <x:c r="B73" s="6" t="n"/>
      <x:c r="C73" s="93" t="n"/>
      <x:c r="D73" s="6" t="n"/>
      <x:c r="E73" s="6" t="n"/>
      <x:c r="F73" s="72" t="n"/>
      <x:c r="H73" s="20" t="n"/>
      <x:c r="I73" s="21" t="n"/>
      <x:c r="J73" s="6" t="n"/>
      <x:c r="K73" s="6" t="n"/>
      <x:c r="L73" s="6" t="n"/>
      <x:c r="M73" s="20" t="n"/>
    </x:row>
    <x:row r="74">
      <x:c r="A74" s="10" t="n"/>
      <x:c r="B74" s="6" t="n"/>
      <x:c r="C74" s="93" t="n"/>
      <x:c r="D74" s="6" t="n"/>
      <x:c r="E74" s="6" t="n"/>
      <x:c r="F74" s="72" t="n"/>
      <x:c r="H74" s="20" t="n"/>
      <x:c r="I74" s="21" t="n"/>
      <x:c r="J74" s="6" t="n"/>
      <x:c r="K74" s="6" t="n"/>
      <x:c r="L74" s="6" t="n"/>
      <x:c r="M74" s="20" t="n"/>
    </x:row>
    <x:row r="75">
      <x:c r="A75" s="10" t="n"/>
      <x:c r="B75" s="6" t="n"/>
      <x:c r="C75" s="93" t="n"/>
      <x:c r="D75" s="6" t="n"/>
      <x:c r="E75" s="6" t="n"/>
      <x:c r="F75" s="72" t="n"/>
      <x:c r="H75" s="20" t="n"/>
      <x:c r="I75" s="21" t="n"/>
      <x:c r="J75" s="6" t="n"/>
      <x:c r="K75" s="6" t="n"/>
      <x:c r="L75" s="6" t="n"/>
      <x:c r="M75" s="20" t="n"/>
    </x:row>
    <x:row r="76">
      <x:c r="A76" s="10" t="n"/>
      <x:c r="B76" s="6" t="n"/>
      <x:c r="C76" s="93" t="n"/>
      <x:c r="D76" s="6" t="n"/>
      <x:c r="E76" s="6" t="n"/>
      <x:c r="F76" s="72" t="n"/>
      <x:c r="H76" s="20" t="n"/>
      <x:c r="I76" s="21" t="n"/>
      <x:c r="J76" s="6" t="n"/>
      <x:c r="K76" s="6" t="n"/>
      <x:c r="L76" s="6" t="n"/>
      <x:c r="M76" s="20" t="n"/>
    </x:row>
    <x:row r="77">
      <x:c r="A77" s="10" t="n"/>
      <x:c r="B77" s="6" t="n"/>
      <x:c r="C77" s="93" t="n"/>
      <x:c r="D77" s="6" t="n"/>
      <x:c r="E77" s="6" t="n"/>
      <x:c r="F77" s="72" t="n"/>
      <x:c r="H77" s="20" t="n"/>
      <x:c r="I77" s="21" t="n"/>
      <x:c r="J77" s="6" t="n"/>
      <x:c r="K77" s="6" t="n"/>
      <x:c r="L77" s="6" t="n"/>
      <x:c r="M77" s="20" t="n"/>
    </x:row>
  </x:sheetData>
  <x:mergeCells>
    <x:mergeCell ref="F73:G73"/>
    <x:mergeCell ref="F69:G69"/>
    <x:mergeCell ref="F54:G54"/>
    <x:mergeCell ref="F68:G68"/>
    <x:mergeCell ref="F63:G63"/>
    <x:mergeCell ref="F65:G65"/>
    <x:mergeCell ref="F74:G74"/>
    <x:mergeCell ref="F55:G55"/>
    <x:mergeCell ref="F76:G76"/>
    <x:mergeCell ref="F70:G70"/>
    <x:mergeCell ref="F66:G66"/>
    <x:mergeCell ref="F75:G75"/>
    <x:mergeCell ref="F62:G62"/>
    <x:mergeCell ref="F72:G72"/>
    <x:mergeCell ref="F71:G71"/>
    <x:mergeCell ref="F67:G67"/>
    <x:mergeCell ref="F61:G61"/>
    <x:mergeCell ref="F77:G77"/>
    <x:mergeCell ref="F60:G60"/>
    <x:mergeCell ref="F64:G64"/>
    <x:mergeCell ref="F53:G5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4.44140625" defaultRowHeight="14.399999618530273"/>
  <x:cols>
    <x:col min="1" max="1" width="10.5546875" style="71" customWidth="1"/>
    <x:col min="2" max="2" width="29" style="71" customWidth="1"/>
  </x:cols>
  <x:sheetData>
    <x:row r="1" s="62" customFormat="1">
      <x:c r="A1" s="59" t="inlineStr">
        <x:is>
          <x:t xml:space="preserve">Emp ID</x:t>
        </x:is>
      </x:c>
      <x:c r="B1" s="59" t="inlineStr">
        <x:is>
          <x:t xml:space="preserve">Employee Name</x:t>
        </x:is>
      </x:c>
      <x:c r="C1" s="62" t="inlineStr">
        <x:is>
          <x:t xml:space="preserve">SSS Number</x:t>
        </x:is>
      </x:c>
      <x:c r="D1" s="62" t="inlineStr">
        <x:is>
          <x:t xml:space="preserve">Philhealth Number</x:t>
        </x:is>
      </x:c>
      <x:c r="E1" s="62" t="inlineStr">
        <x:is>
          <x:t xml:space="preserve">Pag-ibig Number</x:t>
        </x:is>
      </x:c>
      <x:c r="H1" s="63" t="n"/>
    </x:row>
    <x:row r="2">
      <x:c r="A2" s="10" t="inlineStr">
        <x:is>
          <x:t xml:space="preserve">01100240</x:t>
        </x:is>
      </x:c>
      <x:c r="B2" s="10" t="inlineStr">
        <x:is>
          <x:t xml:space="preserve">Abegail Mandras</x:t>
        </x:is>
      </x:c>
      <x:c r="C2" s="6" t="inlineStr">
        <x:is>
          <x:t xml:space="preserve">22-8231838-5</x:t>
        </x:is>
      </x:c>
      <x:c r="D2" t="inlineStr">
        <x:is>
          <x:t xml:space="preserve">64-7060638140-0</x:t>
        </x:is>
      </x:c>
      <x:c r="E2" t="inlineStr">
        <x:is>
          <x:t xml:space="preserve">2612-1993-7596</x:t>
        </x:is>
      </x:c>
    </x:row>
    <x:row r="3">
      <x:c r="A3" s="10" t="inlineStr">
        <x:is>
          <x:t xml:space="preserve">01100277</x:t>
        </x:is>
      </x:c>
      <x:c r="B3" s="10" t="inlineStr">
        <x:is>
          <x:t xml:space="preserve">Adrian Lawat</x:t>
        </x:is>
      </x:c>
      <x:c r="C3" s="6" t="inlineStr">
        <x:is>
          <x:t xml:space="preserve">53-2833230-3</x:t>
        </x:is>
      </x:c>
      <x:c r="D3" t="inlineStr">
        <x:is>
          <x:t xml:space="preserve">34-2926780541-6</x:t>
        </x:is>
      </x:c>
      <x:c r="E3" t="inlineStr">
        <x:is>
          <x:t xml:space="preserve">4006-5563-8579</x:t>
        </x:is>
      </x:c>
    </x:row>
    <x:row r="4">
      <x:c r="A4" s="10" t="inlineStr">
        <x:is>
          <x:t xml:space="preserve">02100100</x:t>
        </x:is>
      </x:c>
      <x:c r="B4" s="10" t="inlineStr">
        <x:is>
          <x:t xml:space="preserve">Aillen Joy Largo</x:t>
        </x:is>
      </x:c>
      <x:c r="C4" s="6" t="inlineStr">
        <x:is>
          <x:t xml:space="preserve">41-2264748-7</x:t>
        </x:is>
      </x:c>
      <x:c r="D4" t="inlineStr">
        <x:is>
          <x:t xml:space="preserve">80-1420514789-8</x:t>
        </x:is>
      </x:c>
      <x:c r="E4" t="inlineStr">
        <x:is>
          <x:t xml:space="preserve">1241-2528-4872</x:t>
        </x:is>
      </x:c>
    </x:row>
    <x:row r="5">
      <x:c r="A5" s="10" t="inlineStr">
        <x:is>
          <x:t xml:space="preserve">01100328</x:t>
        </x:is>
      </x:c>
      <x:c r="B5" s="10" t="inlineStr">
        <x:is>
          <x:t xml:space="preserve">Al Mario Bahala</x:t>
        </x:is>
      </x:c>
      <x:c r="C5" s="6" t="inlineStr">
        <x:is>
          <x:t xml:space="preserve">31-7818496-7</x:t>
        </x:is>
      </x:c>
      <x:c r="D5" t="inlineStr">
        <x:is>
          <x:t xml:space="preserve">71-1251837136-6</x:t>
        </x:is>
      </x:c>
      <x:c r="E5" t="inlineStr">
        <x:is>
          <x:t xml:space="preserve">1035-7396-5345</x:t>
        </x:is>
      </x:c>
    </x:row>
    <x:row r="6">
      <x:c r="A6" s="10" t="inlineStr">
        <x:is>
          <x:t xml:space="preserve">02100334</x:t>
        </x:is>
      </x:c>
      <x:c r="B6" s="10" t="inlineStr">
        <x:is>
          <x:t xml:space="preserve">Alvin Lozada</x:t>
        </x:is>
      </x:c>
      <x:c r="C6" s="6" t="inlineStr">
        <x:is>
          <x:t xml:space="preserve">68-5785687-6</x:t>
        </x:is>
      </x:c>
      <x:c r="D6" t="inlineStr">
        <x:is>
          <x:t xml:space="preserve">99-8380507338-2</x:t>
        </x:is>
      </x:c>
      <x:c r="E6" t="inlineStr">
        <x:is>
          <x:t xml:space="preserve">4111-5861-4566</x:t>
        </x:is>
      </x:c>
    </x:row>
    <x:row r="7">
      <x:c r="A7" s="10" t="inlineStr">
        <x:is>
          <x:t xml:space="preserve">01100101</x:t>
        </x:is>
      </x:c>
      <x:c r="B7" s="10" t="inlineStr">
        <x:is>
          <x:t xml:space="preserve">Andrea Ceniza</x:t>
        </x:is>
      </x:c>
      <x:c r="C7" s="6" t="inlineStr">
        <x:is>
          <x:t xml:space="preserve">17-2022698-5</x:t>
        </x:is>
      </x:c>
      <x:c r="D7" t="inlineStr">
        <x:is>
          <x:t xml:space="preserve">17-9805294274-7</x:t>
        </x:is>
      </x:c>
      <x:c r="E7" t="inlineStr">
        <x:is>
          <x:t xml:space="preserve">9238-9701-3579</x:t>
        </x:is>
      </x:c>
    </x:row>
    <x:row r="8">
      <x:c r="A8" s="10" t="inlineStr">
        <x:is>
          <x:t xml:space="preserve">02100103</x:t>
        </x:is>
      </x:c>
      <x:c r="B8" s="10" t="inlineStr">
        <x:is>
          <x:t xml:space="preserve">Angelica Paligsa</x:t>
        </x:is>
      </x:c>
      <x:c r="C8" s="6" t="inlineStr">
        <x:is>
          <x:t xml:space="preserve">17-9519948-1</x:t>
        </x:is>
      </x:c>
      <x:c r="D8" t="inlineStr">
        <x:is>
          <x:t xml:space="preserve">33-9884231465-1</x:t>
        </x:is>
      </x:c>
      <x:c r="E8" t="inlineStr">
        <x:is>
          <x:t xml:space="preserve">4853-7615-2964</x:t>
        </x:is>
      </x:c>
    </x:row>
    <x:row r="9">
      <x:c r="A9" s="10" t="inlineStr">
        <x:is>
          <x:t xml:space="preserve">02100104</x:t>
        </x:is>
      </x:c>
      <x:c r="B9" s="10" t="inlineStr">
        <x:is>
          <x:t xml:space="preserve">Ann Lou Minguito</x:t>
        </x:is>
      </x:c>
      <x:c r="C9" s="6" t="inlineStr">
        <x:is>
          <x:t xml:space="preserve">82-5130808-9</x:t>
        </x:is>
      </x:c>
      <x:c r="D9" t="inlineStr">
        <x:is>
          <x:t xml:space="preserve">86-9760623742-1</x:t>
        </x:is>
      </x:c>
      <x:c r="E9" t="inlineStr">
        <x:is>
          <x:t xml:space="preserve">7868-9565-6183</x:t>
        </x:is>
      </x:c>
    </x:row>
    <x:row r="10">
      <x:c r="A10" s="10" t="inlineStr">
        <x:is>
          <x:t xml:space="preserve">02200105</x:t>
        </x:is>
      </x:c>
      <x:c r="B10" s="10" t="inlineStr">
        <x:is>
          <x:t xml:space="preserve">Anna Marie Tabares</x:t>
        </x:is>
      </x:c>
      <x:c r="C10" s="6" t="inlineStr">
        <x:is>
          <x:t xml:space="preserve">43-4426900-5</x:t>
        </x:is>
      </x:c>
      <x:c r="D10" t="inlineStr">
        <x:is>
          <x:t xml:space="preserve">40-6435772945-2</x:t>
        </x:is>
      </x:c>
      <x:c r="E10" t="inlineStr">
        <x:is>
          <x:t xml:space="preserve">5915-8491-6180</x:t>
        </x:is>
      </x:c>
    </x:row>
    <x:row r="11">
      <x:c r="A11" s="10" t="inlineStr">
        <x:is>
          <x:t xml:space="preserve">02100106</x:t>
        </x:is>
      </x:c>
      <x:c r="B11" s="10" t="inlineStr">
        <x:is>
          <x:t xml:space="preserve">Anna Mica Ella Punongbayan</x:t>
        </x:is>
      </x:c>
      <x:c r="C11" s="6" t="inlineStr">
        <x:is>
          <x:t xml:space="preserve">19-1156287-7</x:t>
        </x:is>
      </x:c>
      <x:c r="D11" t="inlineStr">
        <x:is>
          <x:t xml:space="preserve">89-5278201677-1</x:t>
        </x:is>
      </x:c>
      <x:c r="E11" t="inlineStr">
        <x:is>
          <x:t xml:space="preserve">9808-4492-9288</x:t>
        </x:is>
      </x:c>
    </x:row>
    <x:row r="12">
      <x:c r="A12" s="10" t="inlineStr">
        <x:is>
          <x:t xml:space="preserve">02100227</x:t>
        </x:is>
      </x:c>
      <x:c r="B12" s="10" t="inlineStr">
        <x:is>
          <x:t xml:space="preserve">April Jane Elnar</x:t>
        </x:is>
      </x:c>
      <x:c r="C12" s="6" t="inlineStr">
        <x:is>
          <x:t xml:space="preserve">43-3222252-5</x:t>
        </x:is>
      </x:c>
      <x:c r="D12" t="inlineStr">
        <x:is>
          <x:t xml:space="preserve">18-4776436931-5</x:t>
        </x:is>
      </x:c>
      <x:c r="E12" t="inlineStr">
        <x:is>
          <x:t xml:space="preserve">5669-3584-8179</x:t>
        </x:is>
      </x:c>
    </x:row>
    <x:row r="13">
      <x:c r="A13" s="10" t="inlineStr">
        <x:is>
          <x:t xml:space="preserve">02100194</x:t>
        </x:is>
      </x:c>
      <x:c r="B13" s="10" t="inlineStr">
        <x:is>
          <x:t xml:space="preserve">April Sanchez</x:t>
        </x:is>
      </x:c>
      <x:c r="C13" s="6" t="inlineStr">
        <x:is>
          <x:t xml:space="preserve">79-6075395-9</x:t>
        </x:is>
      </x:c>
      <x:c r="D13" t="inlineStr">
        <x:is>
          <x:t xml:space="preserve">93-3271782991-8</x:t>
        </x:is>
      </x:c>
      <x:c r="E13" t="inlineStr">
        <x:is>
          <x:t xml:space="preserve">5905-2697-3200</x:t>
        </x:is>
      </x:c>
    </x:row>
    <x:row r="14">
      <x:c r="A14" s="10" t="inlineStr">
        <x:is>
          <x:t xml:space="preserve">01100218</x:t>
        </x:is>
      </x:c>
      <x:c r="B14" s="10" t="inlineStr">
        <x:is>
          <x:t xml:space="preserve">Aquilyn Dayan A. Adlit</x:t>
        </x:is>
      </x:c>
      <x:c r="C14" s="6" t="inlineStr">
        <x:is>
          <x:t xml:space="preserve">43-2936571-1</x:t>
        </x:is>
      </x:c>
      <x:c r="D14" t="inlineStr">
        <x:is>
          <x:t xml:space="preserve">80-5962610986-4</x:t>
        </x:is>
      </x:c>
      <x:c r="E14" t="inlineStr">
        <x:is>
          <x:t xml:space="preserve">4450-6617-4335</x:t>
        </x:is>
      </x:c>
    </x:row>
    <x:row r="15">
      <x:c r="A15" s="10" t="inlineStr">
        <x:is>
          <x:t xml:space="preserve">02100327</x:t>
        </x:is>
      </x:c>
      <x:c r="B15" s="10" t="inlineStr">
        <x:is>
          <x:t xml:space="preserve">Ardeth James Ortega</x:t>
        </x:is>
      </x:c>
      <x:c r="C15" s="6" t="inlineStr">
        <x:is>
          <x:t xml:space="preserve">97-5428914-8</x:t>
        </x:is>
      </x:c>
      <x:c r="D15" t="inlineStr">
        <x:is>
          <x:t xml:space="preserve">72-1218179599-6</x:t>
        </x:is>
      </x:c>
      <x:c r="E15" t="inlineStr">
        <x:is>
          <x:t xml:space="preserve">5533-1722-1058</x:t>
        </x:is>
      </x:c>
    </x:row>
    <x:row r="16">
      <x:c r="A16" s="10" t="inlineStr">
        <x:is>
          <x:t xml:space="preserve">02100107</x:t>
        </x:is>
      </x:c>
      <x:c r="B16" s="10" t="inlineStr">
        <x:is>
          <x:t xml:space="preserve">Brenda Mae T. Bacurnay</x:t>
        </x:is>
      </x:c>
      <x:c r="C16" s="6" t="inlineStr">
        <x:is>
          <x:t xml:space="preserve">52-3194789-4</x:t>
        </x:is>
      </x:c>
      <x:c r="D16" t="inlineStr">
        <x:is>
          <x:t xml:space="preserve">30-8478529823-8</x:t>
        </x:is>
      </x:c>
      <x:c r="E16" t="inlineStr">
        <x:is>
          <x:t xml:space="preserve">8007-1158-2832</x:t>
        </x:is>
      </x:c>
    </x:row>
    <x:row r="17">
      <x:c r="A17" s="10" t="inlineStr">
        <x:is>
          <x:t xml:space="preserve">01100271</x:t>
        </x:is>
      </x:c>
      <x:c r="B17" s="10" t="inlineStr">
        <x:is>
          <x:t xml:space="preserve">Buenagen Bagundol</x:t>
        </x:is>
      </x:c>
      <x:c r="C17" s="6" t="inlineStr">
        <x:is>
          <x:t xml:space="preserve">19-3500715-8</x:t>
        </x:is>
      </x:c>
      <x:c r="D17" t="inlineStr">
        <x:is>
          <x:t xml:space="preserve">14-8879525611-9</x:t>
        </x:is>
      </x:c>
      <x:c r="E17" t="inlineStr">
        <x:is>
          <x:t xml:space="preserve">3426-8041-3088</x:t>
        </x:is>
      </x:c>
    </x:row>
    <x:row r="18">
      <x:c r="A18" s="10" t="inlineStr">
        <x:is>
          <x:t xml:space="preserve">01100108</x:t>
        </x:is>
      </x:c>
      <x:c r="B18" s="10" t="inlineStr">
        <x:is>
          <x:t xml:space="preserve">Camela Torrate</x:t>
        </x:is>
      </x:c>
      <x:c r="C18" s="6" t="inlineStr">
        <x:is>
          <x:t xml:space="preserve">15-6171716-5</x:t>
        </x:is>
      </x:c>
      <x:c r="D18" t="inlineStr">
        <x:is>
          <x:t xml:space="preserve">15-9155819200-3</x:t>
        </x:is>
      </x:c>
      <x:c r="E18" t="inlineStr">
        <x:is>
          <x:t xml:space="preserve">5088-2684-6794</x:t>
        </x:is>
      </x:c>
    </x:row>
    <x:row r="19">
      <x:c r="A19" s="10" t="inlineStr">
        <x:is>
          <x:t xml:space="preserve">02100109</x:t>
        </x:is>
      </x:c>
      <x:c r="B19" s="10" t="inlineStr">
        <x:is>
          <x:t xml:space="preserve">Candice Kate Velasco</x:t>
        </x:is>
      </x:c>
      <x:c r="C19" s="6" t="inlineStr">
        <x:is>
          <x:t xml:space="preserve">81-7817881-9</x:t>
        </x:is>
      </x:c>
      <x:c r="D19" t="inlineStr">
        <x:is>
          <x:t xml:space="preserve">29-2770791023-2</x:t>
        </x:is>
      </x:c>
      <x:c r="E19" t="inlineStr">
        <x:is>
          <x:t xml:space="preserve">6442-7745-5065</x:t>
        </x:is>
      </x:c>
    </x:row>
    <x:row r="20">
      <x:c r="A20" s="10" t="inlineStr">
        <x:is>
          <x:t xml:space="preserve">02100294</x:t>
        </x:is>
      </x:c>
      <x:c r="B20" s="10" t="inlineStr">
        <x:is>
          <x:t xml:space="preserve">Carlo John Rubio</x:t>
        </x:is>
      </x:c>
      <x:c r="C20" s="6" t="inlineStr">
        <x:is>
          <x:t xml:space="preserve">44-3670896-1</x:t>
        </x:is>
      </x:c>
      <x:c r="D20" t="inlineStr">
        <x:is>
          <x:t xml:space="preserve">58-4745927824-7</x:t>
        </x:is>
      </x:c>
      <x:c r="E20" t="inlineStr">
        <x:is>
          <x:t xml:space="preserve">4644-4269-8541</x:t>
        </x:is>
      </x:c>
    </x:row>
    <x:row r="21">
      <x:c r="A21" s="10" t="inlineStr">
        <x:is>
          <x:t xml:space="preserve">01100270</x:t>
        </x:is>
      </x:c>
      <x:c r="B21" s="10" t="inlineStr">
        <x:is>
          <x:t xml:space="preserve">Catherine Vergara</x:t>
        </x:is>
      </x:c>
      <x:c r="C21" s="6" t="inlineStr">
        <x:is>
          <x:t xml:space="preserve">54-6120253-3</x:t>
        </x:is>
      </x:c>
      <x:c r="D21" t="inlineStr">
        <x:is>
          <x:t xml:space="preserve">38-9691572571-3</x:t>
        </x:is>
      </x:c>
      <x:c r="E21" t="inlineStr">
        <x:is>
          <x:t xml:space="preserve">7528-6378-5564</x:t>
        </x:is>
      </x:c>
    </x:row>
    <x:row r="22">
      <x:c r="A22" s="10" t="inlineStr">
        <x:is>
          <x:t xml:space="preserve">01100220</x:t>
        </x:is>
      </x:c>
      <x:c r="B22" s="10" t="inlineStr">
        <x:is>
          <x:t xml:space="preserve">Christian Pagobo</x:t>
        </x:is>
      </x:c>
      <x:c r="C22" s="6" t="inlineStr">
        <x:is>
          <x:t xml:space="preserve">18-5682940-5</x:t>
        </x:is>
      </x:c>
      <x:c r="D22" t="inlineStr">
        <x:is>
          <x:t xml:space="preserve">92-7482848011-8</x:t>
        </x:is>
      </x:c>
      <x:c r="E22" t="inlineStr">
        <x:is>
          <x:t xml:space="preserve">6425-1452-2889</x:t>
        </x:is>
      </x:c>
    </x:row>
    <x:row r="23">
      <x:c r="A23" s="10" t="inlineStr">
        <x:is>
          <x:t xml:space="preserve">01100112</x:t>
        </x:is>
      </x:c>
      <x:c r="B23" s="10" t="inlineStr">
        <x:is>
          <x:t xml:space="preserve">Crislyn Cuizon</x:t>
        </x:is>
      </x:c>
      <x:c r="C23" s="6" t="inlineStr">
        <x:is>
          <x:t xml:space="preserve">43-3995870-9</x:t>
        </x:is>
      </x:c>
      <x:c r="D23" t="inlineStr">
        <x:is>
          <x:t xml:space="preserve">43-1164313410-9</x:t>
        </x:is>
      </x:c>
      <x:c r="E23" t="inlineStr">
        <x:is>
          <x:t xml:space="preserve">8119-6663-6139</x:t>
        </x:is>
      </x:c>
    </x:row>
    <x:row r="24">
      <x:c r="A24" s="10" t="inlineStr">
        <x:is>
          <x:t xml:space="preserve">01100329</x:t>
        </x:is>
      </x:c>
      <x:c r="B24" s="10" t="inlineStr">
        <x:is>
          <x:t xml:space="preserve">Cyriline Vergara</x:t>
        </x:is>
      </x:c>
      <x:c r="C24" s="6" t="inlineStr">
        <x:is>
          <x:t xml:space="preserve">65-9580255-1</x:t>
        </x:is>
      </x:c>
      <x:c r="D24" t="inlineStr">
        <x:is>
          <x:t xml:space="preserve">59-6111349421-0</x:t>
        </x:is>
      </x:c>
      <x:c r="E24" t="inlineStr">
        <x:is>
          <x:t xml:space="preserve">8144-1027-9518</x:t>
        </x:is>
      </x:c>
    </x:row>
    <x:row r="25">
      <x:c r="A25" s="10" t="inlineStr">
        <x:is>
          <x:t xml:space="preserve">01100113</x:t>
        </x:is>
      </x:c>
      <x:c r="B25" s="10" t="inlineStr">
        <x:is>
          <x:t xml:space="preserve">Demie Marie Medalle</x:t>
        </x:is>
      </x:c>
      <x:c r="C25" s="6" t="inlineStr">
        <x:is>
          <x:t xml:space="preserve">78-4305700-5</x:t>
        </x:is>
      </x:c>
      <x:c r="D25" t="inlineStr">
        <x:is>
          <x:t xml:space="preserve">65-4642197907-4</x:t>
        </x:is>
      </x:c>
      <x:c r="E25" t="inlineStr">
        <x:is>
          <x:t xml:space="preserve">9308-6067-7691</x:t>
        </x:is>
      </x:c>
    </x:row>
    <x:row r="26">
      <x:c r="A26" s="10" t="inlineStr">
        <x:is>
          <x:t xml:space="preserve">01100115</x:t>
        </x:is>
      </x:c>
      <x:c r="B26" s="10" t="inlineStr">
        <x:is>
          <x:t xml:space="preserve">Dharlene G. Bendanillo</x:t>
        </x:is>
      </x:c>
      <x:c r="C26" s="6" t="inlineStr">
        <x:is>
          <x:t xml:space="preserve">51-7751158-4</x:t>
        </x:is>
      </x:c>
      <x:c r="D26" t="inlineStr">
        <x:is>
          <x:t xml:space="preserve">80-1546696950-6</x:t>
        </x:is>
      </x:c>
      <x:c r="E26" t="inlineStr">
        <x:is>
          <x:t xml:space="preserve">7211-3851-5930</x:t>
        </x:is>
      </x:c>
    </x:row>
    <x:row r="27">
      <x:c r="A27" s="10" t="inlineStr">
        <x:is>
          <x:t xml:space="preserve">01100116</x:t>
        </x:is>
      </x:c>
      <x:c r="B27" s="10" t="inlineStr">
        <x:is>
          <x:t xml:space="preserve">Donald Bacanaya</x:t>
        </x:is>
      </x:c>
      <x:c r="C27" s="6" t="inlineStr">
        <x:is>
          <x:t xml:space="preserve">61-1006810-4</x:t>
        </x:is>
      </x:c>
      <x:c r="D27" t="inlineStr">
        <x:is>
          <x:t xml:space="preserve">46-6197695041-9</x:t>
        </x:is>
      </x:c>
      <x:c r="E27" t="inlineStr">
        <x:is>
          <x:t xml:space="preserve">6279-8618-8238</x:t>
        </x:is>
      </x:c>
    </x:row>
    <x:row r="28">
      <x:c r="A28" s="10" t="inlineStr">
        <x:is>
          <x:t xml:space="preserve">01100253</x:t>
        </x:is>
      </x:c>
      <x:c r="B28" s="10" t="inlineStr">
        <x:is>
          <x:t xml:space="preserve">Ericka Dorreen Amores - Abejero</x:t>
        </x:is>
      </x:c>
      <x:c r="C28" s="6" t="inlineStr">
        <x:is>
          <x:t xml:space="preserve">66-4585314-8</x:t>
        </x:is>
      </x:c>
      <x:c r="D28" t="inlineStr">
        <x:is>
          <x:t xml:space="preserve">70-4160930353-1</x:t>
        </x:is>
      </x:c>
      <x:c r="E28" t="inlineStr">
        <x:is>
          <x:t xml:space="preserve">5649-9445-6491</x:t>
        </x:is>
      </x:c>
    </x:row>
    <x:row r="29">
      <x:c r="A29" s="10" t="inlineStr">
        <x:is>
          <x:t xml:space="preserve">02100117</x:t>
        </x:is>
      </x:c>
      <x:c r="B29" s="10" t="inlineStr">
        <x:is>
          <x:t xml:space="preserve">Ernesto F. Roquin Jr.</x:t>
        </x:is>
      </x:c>
      <x:c r="C29" s="6" t="inlineStr">
        <x:is>
          <x:t xml:space="preserve">21-4940441-4</x:t>
        </x:is>
      </x:c>
      <x:c r="D29" t="inlineStr">
        <x:is>
          <x:t xml:space="preserve">38-4464161270-2</x:t>
        </x:is>
      </x:c>
      <x:c r="E29" t="inlineStr">
        <x:is>
          <x:t xml:space="preserve">1400-1757-5011</x:t>
        </x:is>
      </x:c>
    </x:row>
    <x:row r="30">
      <x:c r="A30" s="10" t="inlineStr">
        <x:is>
          <x:t xml:space="preserve">01100118</x:t>
        </x:is>
      </x:c>
      <x:c r="B30" s="10" t="inlineStr">
        <x:is>
          <x:t xml:space="preserve">Fame Diez</x:t>
        </x:is>
      </x:c>
      <x:c r="C30" s="6" t="inlineStr">
        <x:is>
          <x:t xml:space="preserve">70-2221854-7</x:t>
        </x:is>
      </x:c>
      <x:c r="D30" t="inlineStr">
        <x:is>
          <x:t xml:space="preserve">63-3472487690-6</x:t>
        </x:is>
      </x:c>
      <x:c r="E30" t="inlineStr">
        <x:is>
          <x:t xml:space="preserve">9099-7547-4997</x:t>
        </x:is>
      </x:c>
    </x:row>
    <x:row r="31">
      <x:c r="A31" s="10" t="inlineStr">
        <x:is>
          <x:t xml:space="preserve">01100221</x:t>
        </x:is>
      </x:c>
      <x:c r="B31" s="10" t="inlineStr">
        <x:is>
          <x:t xml:space="preserve">Farrah Jean Vildosola</x:t>
        </x:is>
      </x:c>
      <x:c r="C31" s="6" t="inlineStr">
        <x:is>
          <x:t xml:space="preserve">28-1093026-1</x:t>
        </x:is>
      </x:c>
      <x:c r="D31" t="inlineStr">
        <x:is>
          <x:t xml:space="preserve">64-1939915527-8</x:t>
        </x:is>
      </x:c>
      <x:c r="E31" t="inlineStr">
        <x:is>
          <x:t xml:space="preserve">8611-1822-5082</x:t>
        </x:is>
      </x:c>
    </x:row>
    <x:row r="32">
      <x:c r="A32" s="10" t="inlineStr">
        <x:is>
          <x:t xml:space="preserve">02100119</x:t>
        </x:is>
      </x:c>
      <x:c r="B32" s="10" t="inlineStr">
        <x:is>
          <x:t xml:space="preserve">Ferreh Jane Vilos</x:t>
        </x:is>
      </x:c>
      <x:c r="C32" s="6" t="inlineStr">
        <x:is>
          <x:t xml:space="preserve">25-8658158-2</x:t>
        </x:is>
      </x:c>
      <x:c r="D32" t="inlineStr">
        <x:is>
          <x:t xml:space="preserve">69-7852415525-7</x:t>
        </x:is>
      </x:c>
      <x:c r="E32" t="inlineStr">
        <x:is>
          <x:t xml:space="preserve">9270-7991-9976</x:t>
        </x:is>
      </x:c>
    </x:row>
    <x:row r="33">
      <x:c r="A33" s="10" t="inlineStr">
        <x:is>
          <x:t xml:space="preserve">02100120</x:t>
        </x:is>
      </x:c>
      <x:c r="B33" s="10" t="inlineStr">
        <x:is>
          <x:t xml:space="preserve">Flint Kaynon Balmadres</x:t>
        </x:is>
      </x:c>
      <x:c r="C33" s="6" t="inlineStr">
        <x:is>
          <x:t xml:space="preserve">67-3670226-7</x:t>
        </x:is>
      </x:c>
      <x:c r="D33" t="inlineStr">
        <x:is>
          <x:t xml:space="preserve">67-8033702319-8</x:t>
        </x:is>
      </x:c>
      <x:c r="E33" t="inlineStr">
        <x:is>
          <x:t xml:space="preserve">8939-4919-5499</x:t>
        </x:is>
      </x:c>
    </x:row>
    <x:row r="34">
      <x:c r="A34" s="10" t="inlineStr">
        <x:is>
          <x:t xml:space="preserve">01100217</x:t>
        </x:is>
      </x:c>
      <x:c r="B34" s="10" t="inlineStr">
        <x:is>
          <x:t xml:space="preserve">Franklyn Jay Talisic</x:t>
        </x:is>
      </x:c>
      <x:c r="C34" s="6" t="inlineStr">
        <x:is>
          <x:t xml:space="preserve">66-2299954-4</x:t>
        </x:is>
      </x:c>
      <x:c r="D34" t="inlineStr">
        <x:is>
          <x:t xml:space="preserve">40-6461974809-5</x:t>
        </x:is>
      </x:c>
      <x:c r="E34" t="inlineStr">
        <x:is>
          <x:t xml:space="preserve">9849-2320-3267</x:t>
        </x:is>
      </x:c>
    </x:row>
    <x:row r="35">
      <x:c r="A35" s="10" t="inlineStr">
        <x:is>
          <x:t xml:space="preserve">02100121</x:t>
        </x:is>
      </x:c>
      <x:c r="B35" s="10" t="inlineStr">
        <x:is>
          <x:t xml:space="preserve">Fritzyl D. Lorico</x:t>
        </x:is>
      </x:c>
      <x:c r="C35" s="6" t="inlineStr">
        <x:is>
          <x:t xml:space="preserve">29-4879923-6</x:t>
        </x:is>
      </x:c>
      <x:c r="D35" t="inlineStr">
        <x:is>
          <x:t xml:space="preserve">98-1918920620-6</x:t>
        </x:is>
      </x:c>
      <x:c r="E35" t="inlineStr">
        <x:is>
          <x:t xml:space="preserve">7678-6421-9890</x:t>
        </x:is>
      </x:c>
    </x:row>
    <x:row r="36">
      <x:c r="A36" s="10" t="inlineStr">
        <x:is>
          <x:t xml:space="preserve">02100295</x:t>
        </x:is>
      </x:c>
      <x:c r="B36" s="10" t="inlineStr">
        <x:is>
          <x:t xml:space="preserve">Genil Silva</x:t>
        </x:is>
      </x:c>
      <x:c r="C36" s="6" t="inlineStr">
        <x:is>
          <x:t xml:space="preserve">69-7975534-0</x:t>
        </x:is>
      </x:c>
      <x:c r="D36" t="inlineStr">
        <x:is>
          <x:t xml:space="preserve">36-8872207630-6</x:t>
        </x:is>
      </x:c>
      <x:c r="E36" t="inlineStr">
        <x:is>
          <x:t xml:space="preserve">1320-7232-8814</x:t>
        </x:is>
      </x:c>
    </x:row>
    <x:row r="37">
      <x:c r="A37" s="10" t="inlineStr">
        <x:is>
          <x:t xml:space="preserve">01100123</x:t>
        </x:is>
      </x:c>
      <x:c r="B37" s="10" t="inlineStr">
        <x:is>
          <x:t xml:space="preserve">Gerra Rose Fajardo</x:t>
        </x:is>
      </x:c>
      <x:c r="C37" s="6" t="inlineStr">
        <x:is>
          <x:t xml:space="preserve">10-6901533-4</x:t>
        </x:is>
      </x:c>
      <x:c r="D37" t="inlineStr">
        <x:is>
          <x:t xml:space="preserve">59-6242173772-3</x:t>
        </x:is>
      </x:c>
      <x:c r="E37" t="inlineStr">
        <x:is>
          <x:t xml:space="preserve">5471-8140-8956</x:t>
        </x:is>
      </x:c>
    </x:row>
    <x:row r="38">
      <x:c r="A38" s="10" t="inlineStr">
        <x:is>
          <x:t xml:space="preserve">01100222</x:t>
        </x:is>
      </x:c>
      <x:c r="B38" s="10" t="inlineStr">
        <x:is>
          <x:t xml:space="preserve">Glenn Oplado</x:t>
        </x:is>
      </x:c>
      <x:c r="C38" s="6" t="inlineStr">
        <x:is>
          <x:t xml:space="preserve">13-7523941-5</x:t>
        </x:is>
      </x:c>
      <x:c r="D38" t="inlineStr">
        <x:is>
          <x:t xml:space="preserve">95-1116402431-6</x:t>
        </x:is>
      </x:c>
      <x:c r="E38" t="inlineStr">
        <x:is>
          <x:t xml:space="preserve">3223-8564-3977</x:t>
        </x:is>
      </x:c>
    </x:row>
    <x:row r="39">
      <x:c r="A39" s="10" t="inlineStr">
        <x:is>
          <x:t xml:space="preserve">02100127</x:t>
        </x:is>
      </x:c>
      <x:c r="B39" s="10" t="inlineStr">
        <x:is>
          <x:t xml:space="preserve">Hannah Jane Villegas Nocete</x:t>
        </x:is>
      </x:c>
      <x:c r="C39" s="6" t="inlineStr">
        <x:is>
          <x:t xml:space="preserve">16-5364698-6</x:t>
        </x:is>
      </x:c>
      <x:c r="D39" t="inlineStr">
        <x:is>
          <x:t xml:space="preserve">51-6204041308-5</x:t>
        </x:is>
      </x:c>
      <x:c r="E39" t="inlineStr">
        <x:is>
          <x:t xml:space="preserve">6529-7211-5558</x:t>
        </x:is>
      </x:c>
    </x:row>
    <x:row r="40">
      <x:c r="A40" s="10" t="inlineStr">
        <x:is>
          <x:t xml:space="preserve">02100128</x:t>
        </x:is>
      </x:c>
      <x:c r="B40" s="10" t="inlineStr">
        <x:is>
          <x:t xml:space="preserve">Harlley D. Alos</x:t>
        </x:is>
      </x:c>
      <x:c r="C40" s="6" t="inlineStr">
        <x:is>
          <x:t xml:space="preserve">63-5232413-1</x:t>
        </x:is>
      </x:c>
      <x:c r="D40" t="inlineStr">
        <x:is>
          <x:t xml:space="preserve">70-9673185158-8</x:t>
        </x:is>
      </x:c>
      <x:c r="E40" t="inlineStr">
        <x:is>
          <x:t xml:space="preserve">1853-6733-4673</x:t>
        </x:is>
      </x:c>
    </x:row>
    <x:row r="41">
      <x:c r="A41" s="10" t="inlineStr">
        <x:is>
          <x:t xml:space="preserve">02100202</x:t>
        </x:is>
      </x:c>
      <x:c r="B41" s="10" t="inlineStr">
        <x:is>
          <x:t xml:space="preserve">Heide Camuta</x:t>
        </x:is>
      </x:c>
      <x:c r="C41" s="6" t="inlineStr">
        <x:is>
          <x:t xml:space="preserve">93-2151225-0</x:t>
        </x:is>
      </x:c>
      <x:c r="D41" t="inlineStr">
        <x:is>
          <x:t xml:space="preserve">13-5078551333-3</x:t>
        </x:is>
      </x:c>
      <x:c r="E41" t="inlineStr">
        <x:is>
          <x:t xml:space="preserve">1333-3496-4908</x:t>
        </x:is>
      </x:c>
    </x:row>
    <x:row r="42">
      <x:c r="A42" s="10" t="inlineStr">
        <x:is>
          <x:t xml:space="preserve">01100129</x:t>
        </x:is>
      </x:c>
      <x:c r="B42" s="10" t="inlineStr">
        <x:is>
          <x:t xml:space="preserve">Ingrid Irene Garcia</x:t>
        </x:is>
      </x:c>
      <x:c r="C42" s="6" t="inlineStr">
        <x:is>
          <x:t xml:space="preserve">26-8945036-1</x:t>
        </x:is>
      </x:c>
      <x:c r="D42" t="inlineStr">
        <x:is>
          <x:t xml:space="preserve">82-5070585433-7</x:t>
        </x:is>
      </x:c>
      <x:c r="E42" t="inlineStr">
        <x:is>
          <x:t xml:space="preserve">5198-7043-3749</x:t>
        </x:is>
      </x:c>
    </x:row>
    <x:row r="43">
      <x:c r="A43" s="10" t="inlineStr">
        <x:is>
          <x:t xml:space="preserve">01100273</x:t>
        </x:is>
      </x:c>
      <x:c r="B43" s="10" t="inlineStr">
        <x:is>
          <x:t xml:space="preserve">Ira Niña Casiño</x:t>
        </x:is>
      </x:c>
      <x:c r="C43" s="6" t="inlineStr">
        <x:is>
          <x:t xml:space="preserve">87-2921542-2</x:t>
        </x:is>
      </x:c>
      <x:c r="D43" t="inlineStr">
        <x:is>
          <x:t xml:space="preserve">49-9410288290-6</x:t>
        </x:is>
      </x:c>
      <x:c r="E43" t="inlineStr">
        <x:is>
          <x:t xml:space="preserve">4249-2245-4978</x:t>
        </x:is>
      </x:c>
    </x:row>
    <x:row r="44">
      <x:c r="A44" s="10" t="inlineStr">
        <x:is>
          <x:t xml:space="preserve">02100130</x:t>
        </x:is>
      </x:c>
      <x:c r="B44" s="10" t="inlineStr">
        <x:is>
          <x:t xml:space="preserve">Jafferson Sojor</x:t>
        </x:is>
      </x:c>
      <x:c r="C44" s="6" t="inlineStr">
        <x:is>
          <x:t xml:space="preserve">23-6059717-9</x:t>
        </x:is>
      </x:c>
      <x:c r="D44" t="inlineStr">
        <x:is>
          <x:t xml:space="preserve">25-5471357886-8</x:t>
        </x:is>
      </x:c>
      <x:c r="E44" t="inlineStr">
        <x:is>
          <x:t xml:space="preserve">8018-7071-2129</x:t>
        </x:is>
      </x:c>
    </x:row>
    <x:row r="45">
      <x:c r="A45" s="10" t="inlineStr">
        <x:is>
          <x:t xml:space="preserve">01100131</x:t>
        </x:is>
      </x:c>
      <x:c r="B45" s="10" t="inlineStr">
        <x:is>
          <x:t xml:space="preserve">James Anthony Adolfo</x:t>
        </x:is>
      </x:c>
      <x:c r="C45" s="6" t="inlineStr">
        <x:is>
          <x:t xml:space="preserve">74-6724909-0</x:t>
        </x:is>
      </x:c>
      <x:c r="D45" t="inlineStr">
        <x:is>
          <x:t xml:space="preserve">63-8826851692-1</x:t>
        </x:is>
      </x:c>
      <x:c r="E45" t="inlineStr">
        <x:is>
          <x:t xml:space="preserve">8102-6934-8532</x:t>
        </x:is>
      </x:c>
    </x:row>
    <x:row r="46">
      <x:c r="A46" s="10" t="inlineStr">
        <x:is>
          <x:t xml:space="preserve">02100132</x:t>
        </x:is>
      </x:c>
      <x:c r="B46" s="10" t="inlineStr">
        <x:is>
          <x:t xml:space="preserve">James Mitchell E. Monares</x:t>
        </x:is>
      </x:c>
      <x:c r="C46" s="6" t="inlineStr">
        <x:is>
          <x:t xml:space="preserve">29-8306261-2</x:t>
        </x:is>
      </x:c>
      <x:c r="D46" t="inlineStr">
        <x:is>
          <x:t xml:space="preserve">76-7371573279-6</x:t>
        </x:is>
      </x:c>
      <x:c r="E46" t="inlineStr">
        <x:is>
          <x:t xml:space="preserve">5397-6280-5022</x:t>
        </x:is>
      </x:c>
    </x:row>
    <x:row r="47">
      <x:c r="A47" s="10" t="inlineStr">
        <x:is>
          <x:t xml:space="preserve">02100133</x:t>
        </x:is>
      </x:c>
      <x:c r="B47" s="10" t="inlineStr">
        <x:is>
          <x:t xml:space="preserve">Janely Nayon</x:t>
        </x:is>
      </x:c>
      <x:c r="C47" s="6" t="inlineStr">
        <x:is>
          <x:t xml:space="preserve">21-5679639-7</x:t>
        </x:is>
      </x:c>
      <x:c r="D47" t="inlineStr">
        <x:is>
          <x:t xml:space="preserve">41-8518238399-9</x:t>
        </x:is>
      </x:c>
      <x:c r="E47" t="inlineStr">
        <x:is>
          <x:t xml:space="preserve">7209-6511-1470</x:t>
        </x:is>
      </x:c>
    </x:row>
    <x:row r="48">
      <x:c r="A48" s="10" t="inlineStr">
        <x:is>
          <x:t xml:space="preserve">01200134</x:t>
        </x:is>
      </x:c>
      <x:c r="B48" s="10" t="inlineStr">
        <x:is>
          <x:t xml:space="preserve">Jarren Legaspino</x:t>
        </x:is>
      </x:c>
      <x:c r="C48" s="6" t="inlineStr">
        <x:is>
          <x:t xml:space="preserve">73-6452832-2</x:t>
        </x:is>
      </x:c>
      <x:c r="D48" t="inlineStr">
        <x:is>
          <x:t xml:space="preserve">72-6206015111-4</x:t>
        </x:is>
      </x:c>
      <x:c r="E48" t="inlineStr">
        <x:is>
          <x:t xml:space="preserve">6576-5581-5526</x:t>
        </x:is>
      </x:c>
    </x:row>
    <x:row r="49">
      <x:c r="A49" s="10" t="inlineStr">
        <x:is>
          <x:t xml:space="preserve">01100254</x:t>
        </x:is>
      </x:c>
      <x:c r="B49" s="10" t="inlineStr">
        <x:is>
          <x:t xml:space="preserve">Jay Michael Decepolo</x:t>
        </x:is>
      </x:c>
      <x:c r="C49" s="6" t="inlineStr">
        <x:is>
          <x:t xml:space="preserve">81-1170307-8</x:t>
        </x:is>
      </x:c>
      <x:c r="D49" t="inlineStr">
        <x:is>
          <x:t xml:space="preserve">34-1367704871-6</x:t>
        </x:is>
      </x:c>
      <x:c r="E49" t="inlineStr">
        <x:is>
          <x:t xml:space="preserve">9004-4937-8800</x:t>
        </x:is>
      </x:c>
    </x:row>
    <x:row r="50">
      <x:c r="A50" s="10" t="inlineStr">
        <x:is>
          <x:t xml:space="preserve">02100135</x:t>
        </x:is>
      </x:c>
      <x:c r="B50" s="10" t="inlineStr">
        <x:is>
          <x:t xml:space="preserve">Jay Pee Antinero</x:t>
        </x:is>
      </x:c>
      <x:c r="C50" s="6" t="inlineStr">
        <x:is>
          <x:t xml:space="preserve">92-9234615-7</x:t>
        </x:is>
      </x:c>
      <x:c r="D50" t="inlineStr">
        <x:is>
          <x:t xml:space="preserve">12-5694628398-3</x:t>
        </x:is>
      </x:c>
      <x:c r="E50" t="inlineStr">
        <x:is>
          <x:t xml:space="preserve">7625-4986-6016</x:t>
        </x:is>
      </x:c>
    </x:row>
    <x:row r="51">
      <x:c r="A51" s="10" t="n"/>
      <x:c r="B51" s="10" t="n"/>
      <x:c r="C51" s="6" t="n"/>
      <x:c r="D51" s="15" t="n"/>
      <x:c r="E51" s="15" t="n"/>
    </x:row>
    <x:row r="52">
      <x:c r="A52" s="10" t="n"/>
      <x:c r="B52" s="10" t="n"/>
    </x:row>
    <x:row r="53">
      <x:c r="A53" s="10" t="n"/>
      <x:c r="B53" s="10" t="n"/>
    </x:row>
    <x:row r="54" s="71" customFormat="1" ht="15" customHeight="1">
      <x:c r="A54" s="10" t="n"/>
      <x:c r="B54" s="10" t="n"/>
    </x:row>
    <x:row r="55" s="71" customFormat="1" ht="15" customHeight="1">
      <x:c r="A55" s="10" t="n"/>
      <x:c r="B55" s="10" t="n"/>
    </x:row>
    <x:row r="56">
      <x:c r="A56" s="10" t="n"/>
      <x:c r="B56" s="10" t="n"/>
    </x:row>
    <x:row r="57" s="71" customFormat="1" ht="15" customHeight="1">
      <x:c r="A57" s="10" t="n"/>
      <x:c r="B57" s="10" t="n"/>
    </x:row>
    <x:row r="58" s="71" customFormat="1" ht="15" customHeight="1">
      <x:c r="A58" s="10" t="n"/>
      <x:c r="B58" s="10" t="n"/>
    </x:row>
    <x:row r="59" s="71" customFormat="1" ht="15" customHeight="1">
      <x:c r="A59" s="10" t="n"/>
      <x:c r="B59" s="10" t="n"/>
    </x:row>
    <x:row r="60" s="71" customFormat="1" ht="15" customHeight="1">
      <x:c r="A60" s="10" t="n"/>
      <x:c r="B60" s="10" t="n"/>
    </x:row>
    <x:row r="61" s="71" customFormat="1" ht="15" customHeight="1">
      <x:c r="A61" s="15" t="n"/>
      <x:c r="B61" s="10" t="n"/>
    </x:row>
    <x:row r="62" s="71" customFormat="1" ht="15" customHeight="1">
      <x:c r="A62" s="6" t="n"/>
      <x:c r="B62" s="10" t="n"/>
    </x:row>
    <x:row r="63" s="71" customFormat="1" ht="15" customHeight="1">
      <x:c r="A63" s="6" t="n"/>
      <x:c r="B63" s="10" t="n"/>
    </x:row>
    <x:row r="64" s="71" customFormat="1" ht="15" customHeight="1">
      <x:c r="B64" s="10" t="n"/>
    </x:row>
    <x:row r="65" s="71" customFormat="1" ht="15" customHeight="1">
      <x:c r="B65" s="10" t="n"/>
    </x:row>
    <x:row r="66" s="71" customFormat="1" ht="15" customHeight="1">
      <x:c r="A66" s="10" t="n"/>
      <x:c r="B66" s="10" t="n"/>
    </x:row>
    <x:row r="67" s="71" customFormat="1" ht="15" customHeight="1">
      <x:c r="B67" s="10" t="n"/>
    </x:row>
    <x:row r="68" s="71" customFormat="1" ht="15" customHeight="1">
      <x:c r="B68" s="10" t="n"/>
    </x:row>
    <x:row r="69" s="71" customFormat="1" ht="15" customHeight="1">
      <x:c r="B69" s="10" t="n"/>
    </x:row>
    <x:row r="70" s="71" customFormat="1" ht="15" customHeight="1">
      <x:c r="B70" s="10" t="n"/>
    </x:row>
    <x:row r="71" s="71" customFormat="1" ht="15" customHeight="1">
      <x:c r="B71" s="10" t="n"/>
    </x:row>
    <x:row r="72" s="71" customFormat="1" ht="15" customHeight="1">
      <x:c r="B72" s="10" t="n"/>
    </x:row>
    <x:row r="73" s="71" customFormat="1" ht="15" customHeight="1">
      <x:c r="B73" s="10" t="n"/>
    </x:row>
    <x:row r="74" s="71" customFormat="1" ht="15" customHeight="1">
      <x:c r="B74" s="10" t="n"/>
    </x:row>
    <x:row r="75" s="71" customFormat="1" ht="15" customHeight="1">
      <x:c r="B75" s="10" t="n"/>
    </x:row>
    <x:row r="76" s="71" customFormat="1" ht="15" customHeight="1">
      <x:c r="B76" s="10" t="n"/>
    </x:row>
    <x:row r="77" s="71" customFormat="1" ht="15" customHeight="1">
      <x:c r="B77" s="10" t="n"/>
    </x:row>
    <x:row r="78" s="71" customFormat="1" ht="15" customHeight="1">
      <x:c r="B78" s="10" t="n"/>
    </x:row>
    <x:row r="79" s="71" customFormat="1" ht="15" customHeight="1">
      <x:c r="B79" s="10" t="n"/>
    </x:row>
    <x:row r="80" s="71" customFormat="1" ht="15" customHeight="1">
      <x:c r="B80" s="10" t="n"/>
    </x:row>
    <x:row r="81" s="71" customFormat="1" ht="15" customHeight="1">
      <x:c r="B81" s="10" t="n"/>
    </x:row>
    <x:row r="82" s="71" customFormat="1" ht="15" customHeight="1">
      <x:c r="B82" s="10" t="n"/>
    </x:row>
    <x:row r="83" s="71" customFormat="1" ht="15" customHeight="1">
      <x:c r="B83" s="10" t="n"/>
    </x:row>
    <x:row r="84" s="71" customFormat="1" ht="15" customHeight="1">
      <x:c r="B84" s="10" t="n"/>
    </x:row>
    <x:row r="85" s="71" customFormat="1" ht="15" customHeight="1">
      <x:c r="B85" s="10" t="n"/>
    </x:row>
    <x:row r="86" s="71" customFormat="1" ht="15" customHeight="1">
      <x:c r="B86" s="10" t="n"/>
    </x:row>
    <x:row r="87" s="71" customFormat="1" ht="15" customHeight="1">
      <x:c r="B87" s="10" t="n"/>
    </x:row>
    <x:row r="88" s="71" customFormat="1" ht="15" customHeight="1">
      <x:c r="B88" s="10" t="n"/>
    </x:row>
    <x:row r="89" s="71" customFormat="1" ht="15" customHeight="1">
      <x:c r="B89" s="10" t="n"/>
    </x:row>
    <x:row r="90" s="71" customFormat="1" ht="15" customHeight="1">
      <x:c r="B90" s="10" t="n"/>
    </x:row>
    <x:row r="91" s="71" customFormat="1" ht="15" customHeight="1">
      <x:c r="B91" s="10" t="n"/>
    </x:row>
    <x:row r="92" s="71" customFormat="1" ht="15" customHeight="1">
      <x:c r="B92" s="10" t="n"/>
    </x:row>
    <x:row r="93" s="71" customFormat="1" ht="15" customHeight="1">
      <x:c r="B93" s="10" t="n"/>
    </x:row>
    <x:row r="94" s="71" customFormat="1" ht="15" customHeight="1">
      <x:c r="B94" s="10" t="n"/>
    </x:row>
    <x:row r="95" s="71" customFormat="1" ht="15" customHeight="1">
      <x:c r="B95" s="10" t="n"/>
    </x:row>
    <x:row r="96" s="71" customFormat="1" ht="15" customHeight="1">
      <x:c r="B96" s="10" t="n"/>
    </x:row>
    <x:row r="97" s="71" customFormat="1" ht="15" customHeight="1">
      <x:c r="B97" s="10" t="n"/>
    </x:row>
    <x:row r="98" s="71" customFormat="1" ht="15" customHeight="1">
      <x:c r="B98" s="10" t="n"/>
    </x:row>
    <x:row r="99" s="71" customFormat="1" ht="15" customHeight="1">
      <x:c r="B99" s="10" t="n"/>
    </x:row>
    <x:row r="100" s="71" customFormat="1" ht="15" customHeight="1">
      <x:c r="B100" s="10" t="n"/>
    </x:row>
    <x:row r="101" s="71" customFormat="1" ht="15" customHeight="1">
      <x:c r="B101" s="10" t="n"/>
    </x:row>
    <x:row r="102" s="71" customFormat="1" ht="15" customHeight="1">
      <x:c r="B102" s="10" t="n"/>
    </x:row>
    <x:row r="103" s="71" customFormat="1" ht="15" customHeight="1">
      <x:c r="B103" s="10" t="n"/>
    </x:row>
    <x:row r="104" s="71" customFormat="1" ht="15" customHeight="1">
      <x:c r="B104" s="10" t="n"/>
    </x:row>
    <x:row r="105" s="71" customFormat="1" ht="15" customHeight="1">
      <x:c r="B105" s="10" t="n"/>
    </x:row>
    <x:row r="106" s="71" customFormat="1" ht="15" customHeight="1">
      <x:c r="B106" s="10" t="n"/>
    </x:row>
    <x:row r="107" s="71" customFormat="1" ht="15" customHeight="1">
      <x:c r="B107" s="15" t="inlineStr">
        <x:is>
          <x:t xml:space="preserve">Grand Total</x:t>
        </x:is>
      </x:c>
    </x:row>
    <x:row r="108" s="71" customFormat="1" ht="15" customHeight="1">
      <x:c r="B108" s="6" t="n"/>
    </x:row>
    <x:row r="109" s="71" customFormat="1" ht="15" customHeight="1">
      <x:c r="B109" s="6" t="n"/>
    </x:row>
  </x:sheetData>
  <x:pageMargins left="0.7" right="0.7" top="0.75" bottom="0.75" header="0.3" footer="0.3"/>
</x:worksheet>
</file>