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zyc\OneDrive\Documents\GitHub\Tgs-Bpo-Payroll\public\"/>
    </mc:Choice>
  </mc:AlternateContent>
  <xr:revisionPtr revIDLastSave="0" documentId="13_ncr:1_{9EA493DE-192F-4D8C-A702-BA3AD3F8B02C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SSS Contribution Table" sheetId="2" state="hidden" r:id="rId1"/>
    <sheet name="Total Hours - Summary" sheetId="6" r:id="rId2"/>
    <sheet name="Hourly" sheetId="7" state="hidden" r:id="rId3"/>
    <sheet name="OT" sheetId="9" r:id="rId4"/>
    <sheet name="Special Holiday" sheetId="10" r:id="rId5"/>
    <sheet name="SIL_Offset" sheetId="11" r:id="rId6"/>
  </sheets>
  <definedNames>
    <definedName name="_xlnm._FilterDatabase" localSheetId="4" hidden="1">'Special Holiday'!$A$1:$G$1000</definedName>
    <definedName name="_xlnm._FilterDatabase" localSheetId="1" hidden="1">'Total Hours - Summary'!$A$1:$W$111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9" roundtripDataChecksum="cGv6FFFZeOLcSI3lpKjuhOYw4QoHfbNAxkTZblTxSI4="/>
    </ext>
  </extLst>
</workbook>
</file>

<file path=xl/calcChain.xml><?xml version="1.0" encoding="utf-8"?>
<calcChain xmlns="http://schemas.openxmlformats.org/spreadsheetml/2006/main">
  <c r="E93" i="10" l="1"/>
  <c r="D93" i="10"/>
  <c r="F93" i="10" s="1"/>
  <c r="E92" i="10"/>
  <c r="D92" i="10"/>
  <c r="F92" i="10" s="1"/>
  <c r="E91" i="10"/>
  <c r="D91" i="10"/>
  <c r="F91" i="10" s="1"/>
  <c r="E90" i="10"/>
  <c r="D90" i="10"/>
  <c r="F90" i="10" s="1"/>
  <c r="E89" i="10"/>
  <c r="F89" i="10" s="1"/>
  <c r="E88" i="10"/>
  <c r="F88" i="10" s="1"/>
  <c r="E87" i="10"/>
  <c r="F87" i="10" s="1"/>
  <c r="E86" i="10"/>
  <c r="D86" i="10"/>
  <c r="E85" i="10"/>
  <c r="D85" i="10"/>
  <c r="E84" i="10"/>
  <c r="D84" i="10"/>
  <c r="F84" i="10" s="1"/>
  <c r="E83" i="10"/>
  <c r="D83" i="10"/>
  <c r="F83" i="10" s="1"/>
  <c r="E82" i="10"/>
  <c r="D82" i="10"/>
  <c r="E81" i="10"/>
  <c r="D81" i="10"/>
  <c r="F81" i="10" s="1"/>
  <c r="E80" i="10"/>
  <c r="F80" i="10" s="1"/>
  <c r="E79" i="10"/>
  <c r="F79" i="10" s="1"/>
  <c r="E78" i="10"/>
  <c r="F78" i="10" s="1"/>
  <c r="E77" i="10"/>
  <c r="D77" i="10"/>
  <c r="E76" i="10"/>
  <c r="D76" i="10"/>
  <c r="F76" i="10" s="1"/>
  <c r="E75" i="10"/>
  <c r="D75" i="10"/>
  <c r="F75" i="10" s="1"/>
  <c r="E74" i="10"/>
  <c r="D74" i="10"/>
  <c r="F74" i="10" s="1"/>
  <c r="E73" i="10"/>
  <c r="F73" i="10" s="1"/>
  <c r="E72" i="10"/>
  <c r="D72" i="10"/>
  <c r="E71" i="10"/>
  <c r="D71" i="10"/>
  <c r="E70" i="10"/>
  <c r="F70" i="10" s="1"/>
  <c r="E69" i="10"/>
  <c r="F69" i="10" s="1"/>
  <c r="E68" i="10"/>
  <c r="D68" i="10"/>
  <c r="F68" i="10" s="1"/>
  <c r="E67" i="10"/>
  <c r="F67" i="10" s="1"/>
  <c r="E66" i="10"/>
  <c r="D66" i="10"/>
  <c r="E65" i="10"/>
  <c r="F65" i="10" s="1"/>
  <c r="E64" i="10"/>
  <c r="F64" i="10" s="1"/>
  <c r="E63" i="10"/>
  <c r="F63" i="10" s="1"/>
  <c r="E62" i="10"/>
  <c r="D62" i="10"/>
  <c r="E61" i="10"/>
  <c r="F61" i="10" s="1"/>
  <c r="E60" i="10"/>
  <c r="F60" i="10" s="1"/>
  <c r="E59" i="10"/>
  <c r="D59" i="10"/>
  <c r="F59" i="10" s="1"/>
  <c r="E58" i="10"/>
  <c r="D58" i="10"/>
  <c r="F58" i="10" s="1"/>
  <c r="E57" i="10"/>
  <c r="D57" i="10"/>
  <c r="F57" i="10" s="1"/>
  <c r="E56" i="10"/>
  <c r="F56" i="10" s="1"/>
  <c r="E55" i="10"/>
  <c r="D55" i="10"/>
  <c r="E54" i="10"/>
  <c r="F54" i="10" s="1"/>
  <c r="E53" i="10"/>
  <c r="F53" i="10" s="1"/>
  <c r="E52" i="10"/>
  <c r="F52" i="10" s="1"/>
  <c r="E51" i="10"/>
  <c r="D51" i="10"/>
  <c r="F51" i="10" s="1"/>
  <c r="E50" i="10"/>
  <c r="D50" i="10"/>
  <c r="F50" i="10" s="1"/>
  <c r="E49" i="10"/>
  <c r="F49" i="10" s="1"/>
  <c r="E48" i="10"/>
  <c r="F48" i="10" s="1"/>
  <c r="E47" i="10"/>
  <c r="F47" i="10" s="1"/>
  <c r="E46" i="10"/>
  <c r="D46" i="10"/>
  <c r="E45" i="10"/>
  <c r="D45" i="10"/>
  <c r="F45" i="10" s="1"/>
  <c r="E44" i="10"/>
  <c r="D44" i="10"/>
  <c r="F44" i="10" s="1"/>
  <c r="E43" i="10"/>
  <c r="D43" i="10"/>
  <c r="F43" i="10" s="1"/>
  <c r="E42" i="10"/>
  <c r="D42" i="10"/>
  <c r="F42" i="10" s="1"/>
  <c r="E41" i="10"/>
  <c r="F41" i="10" s="1"/>
  <c r="E40" i="10"/>
  <c r="D40" i="10"/>
  <c r="E39" i="10"/>
  <c r="F39" i="10" s="1"/>
  <c r="E38" i="10"/>
  <c r="F38" i="10" s="1"/>
  <c r="E37" i="10"/>
  <c r="D37" i="10"/>
  <c r="E36" i="10"/>
  <c r="D36" i="10"/>
  <c r="F36" i="10" s="1"/>
  <c r="E35" i="10"/>
  <c r="D35" i="10"/>
  <c r="F35" i="10" s="1"/>
  <c r="E34" i="10"/>
  <c r="F34" i="10" s="1"/>
  <c r="E33" i="10"/>
  <c r="D33" i="10"/>
  <c r="F33" i="10" s="1"/>
  <c r="E32" i="10"/>
  <c r="D32" i="10"/>
  <c r="E31" i="10"/>
  <c r="F31" i="10" s="1"/>
  <c r="E30" i="10"/>
  <c r="D30" i="10"/>
  <c r="E29" i="10"/>
  <c r="D29" i="10"/>
  <c r="F29" i="10" s="1"/>
  <c r="E28" i="10"/>
  <c r="F28" i="10" s="1"/>
  <c r="E27" i="10"/>
  <c r="F27" i="10" s="1"/>
  <c r="E26" i="10"/>
  <c r="D26" i="10"/>
  <c r="E25" i="10"/>
  <c r="D25" i="10"/>
  <c r="E24" i="10"/>
  <c r="F24" i="10" s="1"/>
  <c r="E23" i="10"/>
  <c r="F23" i="10" s="1"/>
  <c r="E22" i="10"/>
  <c r="F22" i="10" s="1"/>
  <c r="E21" i="10"/>
  <c r="F21" i="10" s="1"/>
  <c r="E20" i="10"/>
  <c r="F20" i="10" s="1"/>
  <c r="E19" i="10"/>
  <c r="F19" i="10" s="1"/>
  <c r="E18" i="10"/>
  <c r="F18" i="10" s="1"/>
  <c r="E17" i="10"/>
  <c r="D17" i="10"/>
  <c r="E16" i="10"/>
  <c r="F16" i="10" s="1"/>
  <c r="D16" i="10"/>
  <c r="E15" i="10"/>
  <c r="F15" i="10" s="1"/>
  <c r="E14" i="10"/>
  <c r="F14" i="10" s="1"/>
  <c r="E13" i="10"/>
  <c r="D13" i="10"/>
  <c r="F13" i="10" s="1"/>
  <c r="E12" i="10"/>
  <c r="D12" i="10"/>
  <c r="F12" i="10" s="1"/>
  <c r="E11" i="10"/>
  <c r="F11" i="10" s="1"/>
  <c r="E10" i="10"/>
  <c r="F10" i="10" s="1"/>
  <c r="E9" i="10"/>
  <c r="D9" i="10"/>
  <c r="E8" i="10"/>
  <c r="D8" i="10"/>
  <c r="E7" i="10"/>
  <c r="D7" i="10"/>
  <c r="F7" i="10" s="1"/>
  <c r="E6" i="10"/>
  <c r="F6" i="10" s="1"/>
  <c r="E5" i="10"/>
  <c r="D5" i="10"/>
  <c r="F5" i="10" s="1"/>
  <c r="E4" i="10"/>
  <c r="D4" i="10"/>
  <c r="E3" i="10"/>
  <c r="F3" i="10" s="1"/>
  <c r="E2" i="10"/>
  <c r="F2" i="10" s="1"/>
  <c r="E39" i="9"/>
  <c r="D39" i="9"/>
  <c r="C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B47" i="7"/>
  <c r="I39" i="7"/>
  <c r="E38" i="7"/>
  <c r="E37" i="7"/>
  <c r="E36" i="7"/>
  <c r="E34" i="7"/>
  <c r="E33" i="7"/>
  <c r="E32" i="7"/>
  <c r="E31" i="7"/>
  <c r="E25" i="7"/>
  <c r="E24" i="7"/>
  <c r="E19" i="7"/>
  <c r="E18" i="7"/>
  <c r="E17" i="7"/>
  <c r="B16" i="7"/>
  <c r="B14" i="7"/>
  <c r="B13" i="7"/>
  <c r="B9" i="7"/>
  <c r="B8" i="7"/>
  <c r="B7" i="7"/>
  <c r="C3" i="7"/>
  <c r="C2" i="7"/>
  <c r="A2" i="7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S3" i="6"/>
  <c r="S2" i="6"/>
  <c r="E29" i="7"/>
  <c r="E39" i="7"/>
  <c r="E30" i="7"/>
  <c r="E21" i="7"/>
  <c r="B15" i="7"/>
  <c r="E16" i="7"/>
  <c r="B12" i="7"/>
  <c r="B10" i="7"/>
  <c r="B6" i="7"/>
  <c r="F39" i="9" l="1"/>
  <c r="F4" i="10"/>
  <c r="F32" i="10"/>
  <c r="F46" i="10"/>
  <c r="F8" i="10"/>
  <c r="F25" i="10"/>
  <c r="F55" i="10"/>
  <c r="F71" i="10"/>
  <c r="F85" i="10"/>
  <c r="F62" i="10"/>
  <c r="F26" i="10"/>
  <c r="F72" i="10"/>
  <c r="F40" i="10"/>
  <c r="F66" i="10"/>
  <c r="F17" i="10"/>
  <c r="F37" i="10"/>
  <c r="F82" i="10"/>
  <c r="B11" i="7"/>
  <c r="E11" i="7"/>
  <c r="E14" i="7"/>
  <c r="E12" i="7"/>
  <c r="E15" i="7"/>
  <c r="E9" i="7"/>
  <c r="E8" i="7"/>
  <c r="E13" i="7"/>
  <c r="S109" i="6"/>
  <c r="E20" i="7"/>
  <c r="F77" i="10"/>
  <c r="E28" i="7"/>
  <c r="E7" i="7"/>
  <c r="C4" i="7"/>
  <c r="E10" i="7"/>
  <c r="F9" i="10"/>
  <c r="F30" i="10"/>
  <c r="F86" i="10"/>
  <c r="E6" i="7" l="1"/>
  <c r="E26" i="7" s="1"/>
  <c r="F26" i="7" l="1"/>
  <c r="G26" i="7" s="1"/>
  <c r="E35" i="7" l="1"/>
  <c r="E40" i="7" s="1"/>
  <c r="E41" i="7" s="1"/>
  <c r="F41" i="7"/>
  <c r="G41" i="7" l="1"/>
</calcChain>
</file>

<file path=xl/sharedStrings.xml><?xml version="1.0" encoding="utf-8"?>
<sst xmlns="http://schemas.openxmlformats.org/spreadsheetml/2006/main" count="701" uniqueCount="286">
  <si>
    <t>Range of Compensation</t>
  </si>
  <si>
    <t>EE Contribution</t>
  </si>
  <si>
    <t>ER</t>
  </si>
  <si>
    <t>Night Differential</t>
  </si>
  <si>
    <t>Referral Bonus</t>
  </si>
  <si>
    <t>Emp ID</t>
  </si>
  <si>
    <t>Employee's Name</t>
  </si>
  <si>
    <t>Site Location</t>
  </si>
  <si>
    <t>SIL</t>
  </si>
  <si>
    <t>Complexity Allowance</t>
  </si>
  <si>
    <t>Allowance</t>
  </si>
  <si>
    <t>KPI/OT Incentive</t>
  </si>
  <si>
    <t>Salary Adjustment (Dispute)</t>
  </si>
  <si>
    <t>SSS</t>
  </si>
  <si>
    <t>HDMF</t>
  </si>
  <si>
    <t>SSS Salary Loan</t>
  </si>
  <si>
    <t>SSS Calamity Loan</t>
  </si>
  <si>
    <t>HDMF Calamity Loan</t>
  </si>
  <si>
    <t>Tax W/held</t>
  </si>
  <si>
    <t>HMO</t>
  </si>
  <si>
    <t>NET PAY</t>
  </si>
  <si>
    <t>01100240</t>
  </si>
  <si>
    <t>Abegail Mandras</t>
  </si>
  <si>
    <t>Cebu</t>
  </si>
  <si>
    <t>01100277</t>
  </si>
  <si>
    <t>Adrian Lawat</t>
  </si>
  <si>
    <t>Melody Moncal</t>
  </si>
  <si>
    <t>02100100</t>
  </si>
  <si>
    <t>Aillen Joy Largo</t>
  </si>
  <si>
    <t>Dumaguete</t>
  </si>
  <si>
    <t>02100334</t>
  </si>
  <si>
    <t>Alvin Lozada</t>
  </si>
  <si>
    <t>DUMAGUETE</t>
  </si>
  <si>
    <t>01100101</t>
  </si>
  <si>
    <t>Andrea Ceniza</t>
  </si>
  <si>
    <t>02100103</t>
  </si>
  <si>
    <t>Angelica Paligsa</t>
  </si>
  <si>
    <t>02100104</t>
  </si>
  <si>
    <t>Ann Lou Minguito</t>
  </si>
  <si>
    <t>02100227</t>
  </si>
  <si>
    <t>April Jane Elnar</t>
  </si>
  <si>
    <t>02100194</t>
  </si>
  <si>
    <t>April Sanchez</t>
  </si>
  <si>
    <t>01100218</t>
  </si>
  <si>
    <t>Aquilyn Dayan A. Adlit</t>
  </si>
  <si>
    <t>02100327</t>
  </si>
  <si>
    <t>Ardeth James Ortega</t>
  </si>
  <si>
    <t>02100107</t>
  </si>
  <si>
    <t>Brenda Mae T. Bacurnay</t>
  </si>
  <si>
    <t>01100271</t>
  </si>
  <si>
    <t>Buenagen Bagundol</t>
  </si>
  <si>
    <t>01100108</t>
  </si>
  <si>
    <t>Camela Torrate</t>
  </si>
  <si>
    <t>02100109</t>
  </si>
  <si>
    <t>Candice Kate Velasco</t>
  </si>
  <si>
    <t>02100294</t>
  </si>
  <si>
    <t>Carlo John Placino Rubio</t>
  </si>
  <si>
    <t>01100270</t>
  </si>
  <si>
    <t>Catherine Vergara</t>
  </si>
  <si>
    <t>01100220</t>
  </si>
  <si>
    <t>Christian Pagobo</t>
  </si>
  <si>
    <t>01100112</t>
  </si>
  <si>
    <t>Crislyn Cuizon</t>
  </si>
  <si>
    <t>01100329</t>
  </si>
  <si>
    <t>Cyriline Vergara</t>
  </si>
  <si>
    <t>01100113</t>
  </si>
  <si>
    <t>Demie Marie Medalle</t>
  </si>
  <si>
    <t>01100115</t>
  </si>
  <si>
    <t>Dharlene G. Bendanillo</t>
  </si>
  <si>
    <t>01100116</t>
  </si>
  <si>
    <t>Donald Bacanaya</t>
  </si>
  <si>
    <t>01100253</t>
  </si>
  <si>
    <t>Ericka Dorreen Abejero</t>
  </si>
  <si>
    <t>02100117</t>
  </si>
  <si>
    <t>Ernesto F. Roquin Jr.</t>
  </si>
  <si>
    <t>01100118</t>
  </si>
  <si>
    <t>Fame Diez</t>
  </si>
  <si>
    <t>01100221</t>
  </si>
  <si>
    <t>Farrah Jean Vildosola</t>
  </si>
  <si>
    <t>02100119</t>
  </si>
  <si>
    <t>Ferreh Jane Vilos</t>
  </si>
  <si>
    <t>02100120</t>
  </si>
  <si>
    <t>Flint Kaynon Balmadres</t>
  </si>
  <si>
    <t>01100217</t>
  </si>
  <si>
    <t>Franklyn Jay Talisic</t>
  </si>
  <si>
    <t>02100121</t>
  </si>
  <si>
    <t>Fritzyl D. Lorico</t>
  </si>
  <si>
    <t>02100295</t>
  </si>
  <si>
    <t>Genil Silva</t>
  </si>
  <si>
    <t>01100222</t>
  </si>
  <si>
    <t>Glenn Oplado</t>
  </si>
  <si>
    <t>02100127</t>
  </si>
  <si>
    <t>Hannah Jane Villegas Nocete</t>
  </si>
  <si>
    <t>02100128</t>
  </si>
  <si>
    <t>Harlley D. Alos</t>
  </si>
  <si>
    <t>02100202</t>
  </si>
  <si>
    <t>Heide Camuta</t>
  </si>
  <si>
    <t>01100129</t>
  </si>
  <si>
    <t>Ingrid Irene Garcia</t>
  </si>
  <si>
    <t>01100273</t>
  </si>
  <si>
    <t>Ira Niña Casiño</t>
  </si>
  <si>
    <t>02100130</t>
  </si>
  <si>
    <t>Jafferson Sojor</t>
  </si>
  <si>
    <t>01100131</t>
  </si>
  <si>
    <t>James Anthony Adolfo</t>
  </si>
  <si>
    <t>02100132</t>
  </si>
  <si>
    <t>James Mitchell E. Monares</t>
  </si>
  <si>
    <t>02100133</t>
  </si>
  <si>
    <t>Janely Nayon</t>
  </si>
  <si>
    <t>01100254</t>
  </si>
  <si>
    <t>Jay Michael Decepolo</t>
  </si>
  <si>
    <t>02100135</t>
  </si>
  <si>
    <t>Jay Pee Antinero</t>
  </si>
  <si>
    <t>02100326</t>
  </si>
  <si>
    <t>Jeau Balajadia</t>
  </si>
  <si>
    <t>01100136</t>
  </si>
  <si>
    <t>Jee Jee Nadera</t>
  </si>
  <si>
    <t>01100236</t>
  </si>
  <si>
    <t>Joelan Revelo</t>
  </si>
  <si>
    <t>01100210</t>
  </si>
  <si>
    <t>Joepet Cañete</t>
  </si>
  <si>
    <t>02100140</t>
  </si>
  <si>
    <t>Johanna Vierna Anub</t>
  </si>
  <si>
    <t>02100141</t>
  </si>
  <si>
    <t>John Carlo Inson</t>
  </si>
  <si>
    <t>01100142</t>
  </si>
  <si>
    <t>John Carlos Carillo</t>
  </si>
  <si>
    <t>01100235</t>
  </si>
  <si>
    <t>Jonathan Mejellano</t>
  </si>
  <si>
    <t>01100145</t>
  </si>
  <si>
    <t>Jose Manuel Bonifacio T. Yap</t>
  </si>
  <si>
    <t>02100149</t>
  </si>
  <si>
    <t>Katherine Tiffany Ragay</t>
  </si>
  <si>
    <t>01100261</t>
  </si>
  <si>
    <t>Kenth Levi Gulbe</t>
  </si>
  <si>
    <t>02100151</t>
  </si>
  <si>
    <t>Kurt Harem Adalid</t>
  </si>
  <si>
    <t>02100203</t>
  </si>
  <si>
    <t>Kyle Jed B. Cariño</t>
  </si>
  <si>
    <t>02100229</t>
  </si>
  <si>
    <t>Laiza Lunday</t>
  </si>
  <si>
    <t>01100152</t>
  </si>
  <si>
    <t>Lanie Gonzaga</t>
  </si>
  <si>
    <t>01100154</t>
  </si>
  <si>
    <t>Lizlee Balugo</t>
  </si>
  <si>
    <t>02100333</t>
  </si>
  <si>
    <t>Loreen Marie Dela Pena</t>
  </si>
  <si>
    <t>01100156</t>
  </si>
  <si>
    <t>Ma. Luisa Pavo</t>
  </si>
  <si>
    <t>01100157</t>
  </si>
  <si>
    <t>Ma.Theresa Lapiña</t>
  </si>
  <si>
    <t>02100196</t>
  </si>
  <si>
    <t>Marie Vincent Sasan</t>
  </si>
  <si>
    <t>02100160</t>
  </si>
  <si>
    <t>Marietta B. Diana</t>
  </si>
  <si>
    <t>01100161</t>
  </si>
  <si>
    <t>Marjorie Tarucan</t>
  </si>
  <si>
    <t>02100332</t>
  </si>
  <si>
    <t>Mark Joseph Ejercito</t>
  </si>
  <si>
    <t>01100272</t>
  </si>
  <si>
    <t>Mary Clere Garciano</t>
  </si>
  <si>
    <t>01100239</t>
  </si>
  <si>
    <t>Mary Jane Armenion</t>
  </si>
  <si>
    <t>02100167</t>
  </si>
  <si>
    <t>Mary Wilsen Capuyan</t>
  </si>
  <si>
    <t>02100169</t>
  </si>
  <si>
    <t>May-Ann Fatima Ceriales</t>
  </si>
  <si>
    <t>01100170</t>
  </si>
  <si>
    <t>Maynard Moses Yu Redula</t>
  </si>
  <si>
    <t>02100335</t>
  </si>
  <si>
    <t>Meliza Catubig</t>
  </si>
  <si>
    <t>02100171</t>
  </si>
  <si>
    <t>02100173</t>
  </si>
  <si>
    <t>Michael Salatan</t>
  </si>
  <si>
    <t>02100204</t>
  </si>
  <si>
    <t>Nerfe A Palagtiw</t>
  </si>
  <si>
    <t>01100212</t>
  </si>
  <si>
    <t>Nikki Shane Godiz</t>
  </si>
  <si>
    <t>01100174</t>
  </si>
  <si>
    <t>Novem Mae Delito</t>
  </si>
  <si>
    <t>01100175</t>
  </si>
  <si>
    <t>Paolo Usman</t>
  </si>
  <si>
    <t>02100286</t>
  </si>
  <si>
    <t>Paul Ryan Generoso</t>
  </si>
  <si>
    <t>02100176</t>
  </si>
  <si>
    <t>Princes Ann Garcia</t>
  </si>
  <si>
    <t>02100177</t>
  </si>
  <si>
    <t>Ralph Kristopher Manogura</t>
  </si>
  <si>
    <t>02100283</t>
  </si>
  <si>
    <t>Ranel Sarmiento</t>
  </si>
  <si>
    <t>02100330</t>
  </si>
  <si>
    <t>Renie Boy Rebusa</t>
  </si>
  <si>
    <t>02100181</t>
  </si>
  <si>
    <t>Ronito Grafe Jr.</t>
  </si>
  <si>
    <t>01100184</t>
  </si>
  <si>
    <t>Sharriz Soterol</t>
  </si>
  <si>
    <t>01100186</t>
  </si>
  <si>
    <t>Sherwin Mata</t>
  </si>
  <si>
    <t>02100198</t>
  </si>
  <si>
    <t>Shiela Mae Lumingkit</t>
  </si>
  <si>
    <t>02100187</t>
  </si>
  <si>
    <t>Shielany Pael</t>
  </si>
  <si>
    <t>02100206</t>
  </si>
  <si>
    <t>Tristian Jay Sagutin</t>
  </si>
  <si>
    <t>02100192</t>
  </si>
  <si>
    <t>Weeno Pagayon</t>
  </si>
  <si>
    <t>02100296</t>
  </si>
  <si>
    <t xml:space="preserve">Yendy Christian Sevilla </t>
  </si>
  <si>
    <t>Observational Allowance</t>
  </si>
  <si>
    <t>02200172</t>
  </si>
  <si>
    <t>Meloje-an Sartin</t>
  </si>
  <si>
    <t>01200190</t>
  </si>
  <si>
    <t>Vernie Resa Anugot</t>
  </si>
  <si>
    <t>02100150</t>
  </si>
  <si>
    <t>Khristel Ann Callao</t>
  </si>
  <si>
    <t>02200191</t>
  </si>
  <si>
    <t>Viz Antonio Silva</t>
  </si>
  <si>
    <t>02200138</t>
  </si>
  <si>
    <t>Jessamy Cañete</t>
  </si>
  <si>
    <t>01100158</t>
  </si>
  <si>
    <t>Maria Fatima Daclan</t>
  </si>
  <si>
    <t>01100123</t>
  </si>
  <si>
    <t>Gerra Rose Fajardo</t>
  </si>
  <si>
    <t>01200134</t>
  </si>
  <si>
    <t>Jarren Legaspino</t>
  </si>
  <si>
    <t>01200148</t>
  </si>
  <si>
    <t>Katherine Maliluya</t>
  </si>
  <si>
    <t>01200182</t>
  </si>
  <si>
    <t>Ronnie Espra Muerong</t>
  </si>
  <si>
    <t>01200137</t>
  </si>
  <si>
    <t>Jeramie Oacan</t>
  </si>
  <si>
    <t>02200105</t>
  </si>
  <si>
    <t>Anna Marie Tabares</t>
  </si>
  <si>
    <t>01200168</t>
  </si>
  <si>
    <t>Maureen Sollano</t>
  </si>
  <si>
    <t>02100106</t>
  </si>
  <si>
    <t>Anna Mica Ella Punongbayan</t>
  </si>
  <si>
    <t>Official Role:</t>
  </si>
  <si>
    <t>Site Location:</t>
  </si>
  <si>
    <t>Php</t>
  </si>
  <si>
    <t>hrs</t>
  </si>
  <si>
    <t>Tax Refund</t>
  </si>
  <si>
    <t>Gross Pay</t>
  </si>
  <si>
    <t>DEDUCTIONS:</t>
  </si>
  <si>
    <t>Philhealth</t>
  </si>
  <si>
    <t>Advances</t>
  </si>
  <si>
    <t>HMO Dependent</t>
  </si>
  <si>
    <t>Total</t>
  </si>
  <si>
    <t>I received the amount stated above and  the computation herein is conforme to me.</t>
  </si>
  <si>
    <t>This is a computer generated document. No signature is required.</t>
  </si>
  <si>
    <t>SIGNED BY:</t>
  </si>
  <si>
    <t>EMPLOYEE'S SIGNATURE</t>
  </si>
  <si>
    <t>Employee Name</t>
  </si>
  <si>
    <t>Grand Total</t>
  </si>
  <si>
    <t>01100328</t>
  </si>
  <si>
    <t>Al Mario Bahala</t>
  </si>
  <si>
    <t>Carlo John Rubio</t>
  </si>
  <si>
    <t>Ericka Dorreen Amores - Abejero</t>
  </si>
  <si>
    <t>john carlo inson</t>
  </si>
  <si>
    <t>weeno pagayon</t>
  </si>
  <si>
    <t>Yendy Christian Sevilla</t>
  </si>
  <si>
    <t>Regular OT</t>
  </si>
  <si>
    <t>Special Non Working Holiday OT</t>
  </si>
  <si>
    <t>cyriline vergara</t>
  </si>
  <si>
    <t>TGS BPO</t>
  </si>
  <si>
    <t>Basic Hourly Rate:</t>
  </si>
  <si>
    <t>Basic Salary</t>
  </si>
  <si>
    <t>Solo Parent/VAWC</t>
  </si>
  <si>
    <t>Other Leaves(Maternity, Paternity and others)</t>
  </si>
  <si>
    <t>Reg Overtime (ROT)</t>
  </si>
  <si>
    <t>Special Hol (SH) Premium</t>
  </si>
  <si>
    <t>Special Hol OT</t>
  </si>
  <si>
    <t>Legal Holiday (LH) Premium</t>
  </si>
  <si>
    <t>LH OT</t>
  </si>
  <si>
    <t>Rest Day (RDOT)</t>
  </si>
  <si>
    <t>hr.</t>
  </si>
  <si>
    <t xml:space="preserve">Retro Pay </t>
  </si>
  <si>
    <t>HDMF Multipurpose Loan</t>
  </si>
  <si>
    <t xml:space="preserve">Over payment </t>
  </si>
  <si>
    <t>Employee ID</t>
  </si>
  <si>
    <t>RD OT (within first 8hrs)</t>
  </si>
  <si>
    <t>Total SH</t>
  </si>
  <si>
    <t>Compensatory Time Off (CTO)</t>
  </si>
  <si>
    <t>PH Holidays _ Not Working on a Regular holiday</t>
  </si>
  <si>
    <t>SIL Credit (Additional based on Tenure)</t>
  </si>
  <si>
    <t>SIL Credits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</si>
</sst>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_-* #,##0.00_-;\-* #,##0.00_-;_-* &quot;-&quot;??_-;_-@"/>
    <numFmt numFmtId="166" formatCode="mmm\ d\,\ yyyy"/>
    <numFmt numFmtId="167" formatCode="[$₱]#,##0.00"/>
    <numFmt numFmtId="168" formatCode="_(* #,##0.00_);_(* \(#,##0.00\);_(* &quot;-&quot;??.0_);_(@_)"/>
    <numFmt numFmtId="169" formatCode="_(* #,##0.0_);_(* \(#,##0.0\);_(* &quot;-&quot;??_);_(@_)"/>
    <numFmt numFmtId="170" formatCode="mm/dd/yyyy"/>
    <numFmt numFmtId="171" formatCode="_(* #,##0.00_);_(* \(#,##0.00\);_(* &quot;-&quot;??.00_);_(@_)"/>
    <numFmt numFmtId="172" formatCode="_(* #,##0_);_(* \(#,##0\);_(* &quot;-&quot;??_);_(@_)"/>
    <numFmt numFmtId="173" formatCode="mmmm\ d\,\ yyyy"/>
    <numFmt numFmtId="174" formatCode="ddd\,\ mmm\ d\,\ yyyy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u/>
      <sz val="9"/>
      <color rgb="FF0563C1"/>
      <name val="Calibri"/>
      <family val="2"/>
    </font>
    <font>
      <i/>
      <sz val="8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8D8D8"/>
        <bgColor rgb="FFD8D8D8"/>
      </patternFill>
    </fill>
    <fill>
      <patternFill patternType="solid">
        <fgColor rgb="FFB6D7A8"/>
        <bgColor rgb="FFB6D7A8"/>
      </patternFill>
    </fill>
    <fill>
      <patternFill patternType="solid">
        <fgColor rgb="FFD9E1F2"/>
        <bgColor rgb="FFD9E1F2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8EA9DB"/>
      </bottom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/>
    <xf numFmtId="0" fontId="7" fillId="0" borderId="0" xfId="0" quotePrefix="1" applyFont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left"/>
    </xf>
    <xf numFmtId="4" fontId="1" fillId="0" borderId="0" xfId="0" applyNumberFormat="1" applyFont="1" applyAlignment="1">
      <alignment horizontal="center"/>
    </xf>
    <xf numFmtId="169" fontId="8" fillId="0" borderId="0" xfId="0" applyNumberFormat="1" applyFont="1"/>
    <xf numFmtId="0" fontId="8" fillId="0" borderId="0" xfId="0" applyFont="1"/>
    <xf numFmtId="0" fontId="7" fillId="0" borderId="0" xfId="0" applyFont="1"/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center"/>
    </xf>
    <xf numFmtId="4" fontId="2" fillId="5" borderId="0" xfId="0" applyNumberFormat="1" applyFont="1" applyFill="1" applyAlignment="1">
      <alignment horizontal="right"/>
    </xf>
    <xf numFmtId="4" fontId="2" fillId="0" borderId="0" xfId="0" applyNumberFormat="1" applyFont="1" applyAlignment="1">
      <alignment horizontal="left"/>
    </xf>
    <xf numFmtId="0" fontId="7" fillId="0" borderId="0" xfId="0" quotePrefix="1" applyFont="1"/>
    <xf numFmtId="0" fontId="9" fillId="0" borderId="0" xfId="0" applyFont="1"/>
    <xf numFmtId="4" fontId="9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4" fontId="9" fillId="0" borderId="0" xfId="0" applyNumberFormat="1" applyFont="1"/>
    <xf numFmtId="170" fontId="2" fillId="0" borderId="0" xfId="0" applyNumberFormat="1" applyFont="1" applyAlignment="1">
      <alignment horizontal="right"/>
    </xf>
    <xf numFmtId="2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21" fontId="2" fillId="0" borderId="0" xfId="0" applyNumberFormat="1" applyFont="1"/>
    <xf numFmtId="0" fontId="6" fillId="0" borderId="0" xfId="0" applyFont="1"/>
    <xf numFmtId="0" fontId="8" fillId="0" borderId="1" xfId="0" applyFont="1" applyBorder="1"/>
    <xf numFmtId="164" fontId="8" fillId="0" borderId="1" xfId="0" applyNumberFormat="1" applyFont="1" applyBorder="1"/>
    <xf numFmtId="0" fontId="6" fillId="0" borderId="4" xfId="0" applyFont="1" applyBorder="1"/>
    <xf numFmtId="0" fontId="8" fillId="0" borderId="4" xfId="0" applyFont="1" applyBorder="1"/>
    <xf numFmtId="164" fontId="8" fillId="0" borderId="4" xfId="0" applyNumberFormat="1" applyFont="1" applyBorder="1"/>
    <xf numFmtId="0" fontId="10" fillId="0" borderId="5" xfId="0" applyFont="1" applyBorder="1"/>
    <xf numFmtId="4" fontId="8" fillId="0" borderId="0" xfId="0" applyNumberFormat="1" applyFont="1"/>
    <xf numFmtId="164" fontId="8" fillId="0" borderId="0" xfId="0" applyNumberFormat="1" applyFont="1"/>
    <xf numFmtId="0" fontId="6" fillId="3" borderId="6" xfId="0" applyFont="1" applyFill="1" applyBorder="1"/>
    <xf numFmtId="167" fontId="8" fillId="3" borderId="6" xfId="0" applyNumberFormat="1" applyFont="1" applyFill="1" applyBorder="1"/>
    <xf numFmtId="168" fontId="8" fillId="0" borderId="0" xfId="0" applyNumberFormat="1" applyFont="1"/>
    <xf numFmtId="171" fontId="8" fillId="0" borderId="0" xfId="0" applyNumberFormat="1" applyFont="1"/>
    <xf numFmtId="172" fontId="8" fillId="0" borderId="0" xfId="0" applyNumberFormat="1" applyFont="1"/>
    <xf numFmtId="164" fontId="6" fillId="0" borderId="4" xfId="0" applyNumberFormat="1" applyFont="1" applyBorder="1"/>
    <xf numFmtId="165" fontId="8" fillId="0" borderId="0" xfId="0" applyNumberFormat="1" applyFont="1"/>
    <xf numFmtId="0" fontId="6" fillId="0" borderId="7" xfId="0" applyFont="1" applyBorder="1"/>
    <xf numFmtId="164" fontId="6" fillId="0" borderId="7" xfId="0" applyNumberFormat="1" applyFont="1" applyBorder="1"/>
    <xf numFmtId="0" fontId="5" fillId="6" borderId="8" xfId="0" applyFont="1" applyFill="1" applyBorder="1"/>
    <xf numFmtId="0" fontId="5" fillId="6" borderId="8" xfId="0" applyFont="1" applyFill="1" applyBorder="1" applyAlignment="1">
      <alignment horizontal="center"/>
    </xf>
    <xf numFmtId="0" fontId="2" fillId="0" borderId="9" xfId="0" applyFont="1" applyBorder="1" applyAlignment="1">
      <alignment horizontal="left"/>
    </xf>
    <xf numFmtId="4" fontId="2" fillId="0" borderId="9" xfId="0" applyNumberFormat="1" applyFont="1" applyBorder="1" applyAlignment="1">
      <alignment horizontal="center"/>
    </xf>
    <xf numFmtId="4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66" fontId="12" fillId="0" borderId="0" xfId="0" applyNumberFormat="1" applyFont="1"/>
    <xf numFmtId="173" fontId="12" fillId="0" borderId="0" xfId="0" applyNumberFormat="1" applyFont="1"/>
    <xf numFmtId="0" fontId="12" fillId="0" borderId="0" xfId="0" applyFont="1"/>
    <xf numFmtId="0" fontId="1" fillId="0" borderId="0" xfId="0" quotePrefix="1" applyFont="1" applyAlignment="1">
      <alignment horizontal="center"/>
    </xf>
    <xf numFmtId="4" fontId="1" fillId="2" borderId="0" xfId="0" applyNumberFormat="1" applyFont="1" applyFill="1" applyAlignment="1">
      <alignment horizontal="left"/>
    </xf>
    <xf numFmtId="4" fontId="12" fillId="0" borderId="0" xfId="0" applyNumberFormat="1" applyFont="1"/>
    <xf numFmtId="0" fontId="5" fillId="0" borderId="0" xfId="0" applyFont="1" applyAlignment="1">
      <alignment horizontal="left"/>
    </xf>
    <xf numFmtId="2" fontId="1" fillId="2" borderId="0" xfId="0" applyNumberFormat="1" applyFont="1" applyFill="1" applyAlignment="1">
      <alignment horizontal="left"/>
    </xf>
    <xf numFmtId="0" fontId="5" fillId="6" borderId="9" xfId="0" applyFont="1" applyFill="1" applyBorder="1" applyAlignment="1">
      <alignment horizontal="left"/>
    </xf>
    <xf numFmtId="4" fontId="5" fillId="6" borderId="9" xfId="0" applyNumberFormat="1" applyFont="1" applyFill="1" applyBorder="1" applyAlignment="1">
      <alignment horizontal="center"/>
    </xf>
    <xf numFmtId="0" fontId="5" fillId="0" borderId="9" xfId="0" applyFont="1" applyBorder="1" applyAlignment="1">
      <alignment horizontal="left"/>
    </xf>
    <xf numFmtId="4" fontId="5" fillId="0" borderId="9" xfId="0" applyNumberFormat="1" applyFont="1" applyBorder="1" applyAlignment="1">
      <alignment horizontal="center"/>
    </xf>
    <xf numFmtId="174" fontId="2" fillId="0" borderId="0" xfId="0" applyNumberFormat="1" applyFont="1" applyAlignment="1">
      <alignment horizontal="right"/>
    </xf>
    <xf numFmtId="174" fontId="2" fillId="0" borderId="0" xfId="0" applyNumberFormat="1" applyFont="1"/>
    <xf numFmtId="0" fontId="14" fillId="0" borderId="0" xfId="0" applyFont="1"/>
    <xf numFmtId="15" fontId="14" fillId="0" borderId="0" xfId="0" applyNumberFormat="1" applyFont="1"/>
    <xf numFmtId="0" fontId="15" fillId="0" borderId="0" xfId="0" applyFont="1"/>
    <xf numFmtId="0" fontId="13" fillId="0" borderId="0" xfId="0" applyFont="1"/>
    <xf numFmtId="165" fontId="1" fillId="0" borderId="0" xfId="0" applyNumberFormat="1" applyFont="1" applyAlignment="1">
      <alignment horizontal="center"/>
    </xf>
    <xf numFmtId="0" fontId="0" fillId="0" borderId="0" xfId="0"/>
    <xf numFmtId="0" fontId="11" fillId="4" borderId="2" xfId="0" applyFont="1" applyFill="1" applyBorder="1" applyAlignment="1">
      <alignment horizontal="center"/>
    </xf>
    <xf numFmtId="0" fontId="3" fillId="0" borderId="3" xfId="0" applyFont="1" applyBorder="1"/>
    <xf numFmtId="0" fontId="8" fillId="0" borderId="6" xfId="0" applyFont="1" applyBorder="1" applyAlignment="1">
      <alignment horizontal="center"/>
    </xf>
    <xf numFmtId="0" fontId="3" fillId="0" borderId="6" xfId="0" applyFont="1" applyBorder="1"/>
    <xf numFmtId="0" fontId="6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3" Type="http://schemas.openxmlformats.org/officeDocument/2006/relationships/calcChain" Target="calcChain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5" customHeight="1" x14ac:dyDescent="0.3"/>
  <cols>
    <col min="1" max="1" width="11.88671875" customWidth="1"/>
    <col min="2" max="2" width="11.5546875" customWidth="1"/>
    <col min="3" max="3" width="21.33203125" customWidth="1"/>
    <col min="4" max="4" width="8.88671875" customWidth="1"/>
    <col min="5" max="26" width="8.6640625" customWidth="1"/>
  </cols>
  <sheetData>
    <row r="1" spans="1:4" ht="14.25" customHeight="1" x14ac:dyDescent="0.3">
      <c r="A1" s="73" t="s">
        <v>0</v>
      </c>
      <c r="B1" s="74"/>
      <c r="C1" s="1" t="s">
        <v>1</v>
      </c>
      <c r="D1" s="2" t="s">
        <v>2</v>
      </c>
    </row>
    <row r="2" spans="1:4" ht="14.25" customHeight="1" x14ac:dyDescent="0.3">
      <c r="A2" s="3">
        <v>12750</v>
      </c>
      <c r="B2" s="3">
        <v>13249.99</v>
      </c>
      <c r="C2" s="4">
        <v>650</v>
      </c>
      <c r="D2" s="2">
        <v>1310</v>
      </c>
    </row>
    <row r="3" spans="1:4" ht="14.25" customHeight="1" x14ac:dyDescent="0.3">
      <c r="A3" s="3">
        <v>13250</v>
      </c>
      <c r="B3" s="3">
        <v>13749.99</v>
      </c>
      <c r="C3" s="4">
        <v>675</v>
      </c>
      <c r="D3" s="2">
        <v>1360</v>
      </c>
    </row>
    <row r="4" spans="1:4" ht="14.25" customHeight="1" x14ac:dyDescent="0.3">
      <c r="A4" s="3">
        <v>13750</v>
      </c>
      <c r="B4" s="3">
        <v>14249.99</v>
      </c>
      <c r="C4" s="4">
        <v>700</v>
      </c>
      <c r="D4" s="2">
        <v>1410</v>
      </c>
    </row>
    <row r="5" spans="1:4" ht="14.25" customHeight="1" x14ac:dyDescent="0.3">
      <c r="A5" s="3">
        <v>14250</v>
      </c>
      <c r="B5" s="3">
        <v>14749.99</v>
      </c>
      <c r="C5" s="4">
        <v>725</v>
      </c>
      <c r="D5" s="2">
        <v>1460</v>
      </c>
    </row>
    <row r="6" spans="1:4" ht="14.25" customHeight="1" x14ac:dyDescent="0.3">
      <c r="A6" s="3">
        <v>14750</v>
      </c>
      <c r="B6" s="3">
        <v>15249.99</v>
      </c>
      <c r="C6" s="4">
        <v>750</v>
      </c>
      <c r="D6" s="2">
        <v>1530</v>
      </c>
    </row>
    <row r="7" spans="1:4" ht="14.25" customHeight="1" x14ac:dyDescent="0.3">
      <c r="A7" s="3">
        <v>15250</v>
      </c>
      <c r="B7" s="3">
        <v>15749.99</v>
      </c>
      <c r="C7" s="4">
        <v>775</v>
      </c>
      <c r="D7" s="2">
        <v>1580</v>
      </c>
    </row>
    <row r="8" spans="1:4" ht="14.25" customHeight="1" x14ac:dyDescent="0.3">
      <c r="A8" s="3">
        <v>15750</v>
      </c>
      <c r="B8" s="3">
        <v>16249.99</v>
      </c>
      <c r="C8" s="4">
        <v>800</v>
      </c>
      <c r="D8" s="2">
        <v>1630</v>
      </c>
    </row>
    <row r="9" spans="1:4" ht="14.25" customHeight="1" x14ac:dyDescent="0.3">
      <c r="A9" s="3">
        <v>16250</v>
      </c>
      <c r="B9" s="3">
        <v>16749.990000000002</v>
      </c>
      <c r="C9" s="4">
        <v>825</v>
      </c>
      <c r="D9" s="2">
        <v>1680</v>
      </c>
    </row>
    <row r="10" spans="1:4" ht="14.25" customHeight="1" x14ac:dyDescent="0.3">
      <c r="A10" s="3">
        <v>16750</v>
      </c>
      <c r="B10" s="3">
        <v>17249.990000000002</v>
      </c>
      <c r="C10" s="4">
        <v>850</v>
      </c>
      <c r="D10" s="2">
        <v>1730</v>
      </c>
    </row>
    <row r="11" spans="1:4" ht="14.25" customHeight="1" x14ac:dyDescent="0.3">
      <c r="A11" s="3">
        <v>17250</v>
      </c>
      <c r="B11" s="3">
        <v>17749.990000000002</v>
      </c>
      <c r="C11" s="4">
        <v>875</v>
      </c>
      <c r="D11" s="2">
        <v>1780</v>
      </c>
    </row>
    <row r="12" spans="1:4" ht="14.25" customHeight="1" x14ac:dyDescent="0.3">
      <c r="A12" s="3">
        <v>17750</v>
      </c>
      <c r="B12" s="3">
        <v>18249.990000000002</v>
      </c>
      <c r="C12" s="4">
        <v>900</v>
      </c>
      <c r="D12" s="2">
        <v>1830</v>
      </c>
    </row>
    <row r="13" spans="1:4" ht="14.25" customHeight="1" x14ac:dyDescent="0.3">
      <c r="A13" s="3">
        <v>18250</v>
      </c>
      <c r="B13" s="3">
        <v>18749.990000000002</v>
      </c>
      <c r="C13" s="4">
        <v>925</v>
      </c>
      <c r="D13" s="2">
        <v>1880</v>
      </c>
    </row>
    <row r="14" spans="1:4" ht="14.25" customHeight="1" x14ac:dyDescent="0.3">
      <c r="A14" s="3">
        <v>18750</v>
      </c>
      <c r="B14" s="3">
        <v>19249.990000000002</v>
      </c>
      <c r="C14" s="4">
        <v>950</v>
      </c>
      <c r="D14" s="2">
        <v>1930</v>
      </c>
    </row>
    <row r="15" spans="1:4" ht="14.25" customHeight="1" x14ac:dyDescent="0.3">
      <c r="A15" s="3">
        <v>19250</v>
      </c>
      <c r="B15" s="3">
        <v>19749.990000000002</v>
      </c>
      <c r="C15" s="4">
        <v>975</v>
      </c>
      <c r="D15" s="2">
        <v>1980</v>
      </c>
    </row>
    <row r="16" spans="1:4" ht="14.25" customHeight="1" x14ac:dyDescent="0.3">
      <c r="A16" s="3">
        <v>19750</v>
      </c>
      <c r="B16" s="3">
        <v>20249.990000000002</v>
      </c>
      <c r="C16" s="4">
        <v>1000</v>
      </c>
      <c r="D16" s="2">
        <v>2030</v>
      </c>
    </row>
    <row r="17" spans="1:4" ht="14.25" customHeight="1" x14ac:dyDescent="0.3">
      <c r="A17" s="3">
        <v>20250</v>
      </c>
      <c r="B17" s="3">
        <v>20749.990000000002</v>
      </c>
      <c r="C17" s="4">
        <v>1025</v>
      </c>
      <c r="D17" s="2">
        <v>2080</v>
      </c>
    </row>
    <row r="18" spans="1:4" ht="14.25" customHeight="1" x14ac:dyDescent="0.3">
      <c r="A18" s="3">
        <v>20750</v>
      </c>
      <c r="B18" s="3">
        <v>21249.99</v>
      </c>
      <c r="C18" s="4">
        <v>1050</v>
      </c>
      <c r="D18" s="2">
        <v>2130</v>
      </c>
    </row>
    <row r="19" spans="1:4" ht="14.25" customHeight="1" x14ac:dyDescent="0.3">
      <c r="A19" s="3">
        <v>21250</v>
      </c>
      <c r="B19" s="3">
        <v>21749.99</v>
      </c>
      <c r="C19" s="4">
        <v>1075</v>
      </c>
      <c r="D19" s="2">
        <v>2180</v>
      </c>
    </row>
    <row r="20" spans="1:4" ht="14.25" customHeight="1" x14ac:dyDescent="0.3">
      <c r="A20" s="3">
        <v>21750</v>
      </c>
      <c r="B20" s="3">
        <v>22249.99</v>
      </c>
      <c r="C20" s="4">
        <v>1100</v>
      </c>
      <c r="D20" s="2">
        <v>2230</v>
      </c>
    </row>
    <row r="21" spans="1:4" ht="14.25" customHeight="1" x14ac:dyDescent="0.3">
      <c r="A21" s="3">
        <v>22250</v>
      </c>
      <c r="B21" s="3">
        <v>22749.99</v>
      </c>
      <c r="C21" s="4">
        <v>1125</v>
      </c>
      <c r="D21" s="2">
        <v>2280</v>
      </c>
    </row>
    <row r="22" spans="1:4" ht="14.25" customHeight="1" x14ac:dyDescent="0.3">
      <c r="A22" s="3">
        <v>22750</v>
      </c>
      <c r="B22" s="3">
        <v>23249.99</v>
      </c>
      <c r="C22" s="4">
        <v>1150</v>
      </c>
      <c r="D22" s="2">
        <v>2330</v>
      </c>
    </row>
    <row r="23" spans="1:4" ht="14.25" customHeight="1" x14ac:dyDescent="0.3">
      <c r="A23" s="3">
        <v>23250</v>
      </c>
      <c r="B23" s="3">
        <v>23749.99</v>
      </c>
      <c r="C23" s="4">
        <v>1175</v>
      </c>
      <c r="D23" s="2">
        <v>2380</v>
      </c>
    </row>
    <row r="24" spans="1:4" ht="14.25" customHeight="1" x14ac:dyDescent="0.3">
      <c r="A24" s="3">
        <v>23750</v>
      </c>
      <c r="B24" s="3">
        <v>24249.99</v>
      </c>
      <c r="C24" s="4">
        <v>1200</v>
      </c>
      <c r="D24" s="2">
        <v>2430</v>
      </c>
    </row>
    <row r="25" spans="1:4" ht="14.25" customHeight="1" x14ac:dyDescent="0.3">
      <c r="A25" s="3">
        <v>24250</v>
      </c>
      <c r="B25" s="3">
        <v>24749.99</v>
      </c>
      <c r="C25" s="4">
        <v>1225</v>
      </c>
      <c r="D25" s="2">
        <v>2480</v>
      </c>
    </row>
    <row r="26" spans="1:4" ht="14.25" customHeight="1" x14ac:dyDescent="0.3">
      <c r="A26" s="3">
        <v>24750</v>
      </c>
      <c r="B26" s="3">
        <v>25249.99</v>
      </c>
      <c r="C26" s="4">
        <v>1250</v>
      </c>
      <c r="D26" s="2">
        <v>2530</v>
      </c>
    </row>
    <row r="27" spans="1:4" ht="14.25" customHeight="1" x14ac:dyDescent="0.3">
      <c r="A27" s="3">
        <v>25250</v>
      </c>
      <c r="B27" s="3">
        <v>25749.99</v>
      </c>
      <c r="C27" s="4">
        <v>1275</v>
      </c>
      <c r="D27" s="2">
        <v>2580</v>
      </c>
    </row>
    <row r="28" spans="1:4" ht="14.25" customHeight="1" x14ac:dyDescent="0.3">
      <c r="A28" s="3">
        <v>25750</v>
      </c>
      <c r="B28" s="3">
        <v>26249.99</v>
      </c>
      <c r="C28" s="4">
        <v>1300</v>
      </c>
      <c r="D28" s="2">
        <v>2630</v>
      </c>
    </row>
    <row r="29" spans="1:4" ht="14.25" customHeight="1" x14ac:dyDescent="0.3">
      <c r="A29" s="3">
        <v>26250</v>
      </c>
      <c r="B29" s="3">
        <v>26749.99</v>
      </c>
      <c r="C29" s="4">
        <v>1325</v>
      </c>
      <c r="D29" s="2">
        <v>2680</v>
      </c>
    </row>
    <row r="30" spans="1:4" ht="14.25" customHeight="1" x14ac:dyDescent="0.3">
      <c r="A30" s="3">
        <v>26750</v>
      </c>
      <c r="B30" s="3">
        <v>27249.99</v>
      </c>
      <c r="C30" s="4">
        <v>1350</v>
      </c>
      <c r="D30" s="2">
        <v>2730</v>
      </c>
    </row>
    <row r="31" spans="1:4" ht="14.25" customHeight="1" x14ac:dyDescent="0.3">
      <c r="A31" s="3">
        <v>27250</v>
      </c>
      <c r="B31" s="3">
        <v>27749.99</v>
      </c>
      <c r="C31" s="4">
        <v>1375</v>
      </c>
      <c r="D31" s="2">
        <v>2780</v>
      </c>
    </row>
    <row r="32" spans="1:4" ht="14.25" customHeight="1" x14ac:dyDescent="0.3">
      <c r="A32" s="3">
        <v>27750</v>
      </c>
      <c r="B32" s="3">
        <v>28249.99</v>
      </c>
      <c r="C32" s="4">
        <v>1400</v>
      </c>
      <c r="D32" s="2">
        <v>2830</v>
      </c>
    </row>
    <row r="33" spans="1:4" ht="14.25" customHeight="1" x14ac:dyDescent="0.3">
      <c r="A33" s="3">
        <v>28250</v>
      </c>
      <c r="B33" s="3">
        <v>28749.99</v>
      </c>
      <c r="C33" s="4">
        <v>1425</v>
      </c>
      <c r="D33" s="2">
        <v>2880</v>
      </c>
    </row>
    <row r="34" spans="1:4" ht="14.25" customHeight="1" x14ac:dyDescent="0.3">
      <c r="A34" s="3">
        <v>28750</v>
      </c>
      <c r="B34" s="3">
        <v>29249.99</v>
      </c>
      <c r="C34" s="4">
        <v>1450</v>
      </c>
      <c r="D34" s="2">
        <v>2930</v>
      </c>
    </row>
    <row r="35" spans="1:4" ht="14.25" customHeight="1" x14ac:dyDescent="0.3">
      <c r="A35" s="3">
        <v>29250</v>
      </c>
      <c r="B35" s="3">
        <v>29749.99</v>
      </c>
      <c r="C35" s="4">
        <v>1475</v>
      </c>
      <c r="D35" s="2">
        <v>2980</v>
      </c>
    </row>
    <row r="36" spans="1:4" ht="14.25" customHeight="1" x14ac:dyDescent="0.3">
      <c r="A36" s="3">
        <v>29750</v>
      </c>
      <c r="B36" s="3">
        <v>30249.99</v>
      </c>
      <c r="C36" s="4">
        <v>1500</v>
      </c>
      <c r="D36" s="2">
        <v>3030</v>
      </c>
    </row>
    <row r="37" spans="1:4" ht="14.25" customHeight="1" x14ac:dyDescent="0.3">
      <c r="A37" s="3">
        <v>30250</v>
      </c>
      <c r="B37" s="3">
        <v>30749.99</v>
      </c>
      <c r="C37" s="4">
        <v>1525</v>
      </c>
      <c r="D37" s="2">
        <v>3080</v>
      </c>
    </row>
    <row r="38" spans="1:4" ht="14.25" customHeight="1" x14ac:dyDescent="0.3">
      <c r="A38" s="3">
        <v>30750</v>
      </c>
      <c r="B38" s="3">
        <v>31249.99</v>
      </c>
      <c r="C38" s="4">
        <v>1550</v>
      </c>
      <c r="D38" s="2">
        <v>3130</v>
      </c>
    </row>
    <row r="39" spans="1:4" ht="14.25" customHeight="1" x14ac:dyDescent="0.3">
      <c r="A39" s="3">
        <v>31250</v>
      </c>
      <c r="B39" s="3">
        <v>31749.99</v>
      </c>
      <c r="C39" s="4">
        <v>1575</v>
      </c>
      <c r="D39" s="2">
        <v>3180</v>
      </c>
    </row>
    <row r="40" spans="1:4" ht="14.25" customHeight="1" x14ac:dyDescent="0.3">
      <c r="A40" s="3">
        <v>31750</v>
      </c>
      <c r="B40" s="3">
        <v>32249.99</v>
      </c>
      <c r="C40" s="4">
        <v>1600</v>
      </c>
      <c r="D40" s="2">
        <v>3230</v>
      </c>
    </row>
    <row r="41" spans="1:4" ht="14.25" customHeight="1" x14ac:dyDescent="0.3">
      <c r="A41" s="3">
        <v>32250</v>
      </c>
      <c r="B41" s="3">
        <v>32749.99</v>
      </c>
      <c r="C41" s="4">
        <v>1625</v>
      </c>
      <c r="D41" s="2">
        <v>3280</v>
      </c>
    </row>
    <row r="42" spans="1:4" ht="14.25" customHeight="1" x14ac:dyDescent="0.3">
      <c r="A42" s="3">
        <v>32750</v>
      </c>
      <c r="B42" s="3">
        <v>33249.99</v>
      </c>
      <c r="C42" s="4">
        <v>1650</v>
      </c>
      <c r="D42" s="2">
        <v>3330</v>
      </c>
    </row>
    <row r="43" spans="1:4" ht="14.25" customHeight="1" x14ac:dyDescent="0.3">
      <c r="A43" s="3">
        <v>33250</v>
      </c>
      <c r="B43" s="3">
        <v>33749.99</v>
      </c>
      <c r="C43" s="4">
        <v>1675</v>
      </c>
      <c r="D43" s="2">
        <v>3380</v>
      </c>
    </row>
    <row r="44" spans="1:4" ht="14.25" customHeight="1" x14ac:dyDescent="0.3">
      <c r="A44" s="3">
        <v>33750</v>
      </c>
      <c r="B44" s="3">
        <v>34249.99</v>
      </c>
      <c r="C44" s="4">
        <v>1700</v>
      </c>
      <c r="D44" s="2">
        <v>3430</v>
      </c>
    </row>
    <row r="45" spans="1:4" ht="14.25" customHeight="1" x14ac:dyDescent="0.3">
      <c r="A45" s="3">
        <v>34250</v>
      </c>
      <c r="B45" s="3">
        <v>34749.99</v>
      </c>
      <c r="C45" s="4">
        <v>1725</v>
      </c>
      <c r="D45" s="2">
        <v>3480</v>
      </c>
    </row>
    <row r="46" spans="1:4" ht="14.25" customHeight="1" x14ac:dyDescent="0.3">
      <c r="A46" s="3">
        <v>34750</v>
      </c>
      <c r="B46" s="3"/>
      <c r="C46" s="4">
        <v>1750</v>
      </c>
      <c r="D46" s="2">
        <v>3530</v>
      </c>
    </row>
    <row r="47" spans="1:4" ht="14.25" customHeight="1" x14ac:dyDescent="0.3">
      <c r="A47" s="3"/>
      <c r="B47" s="3"/>
      <c r="D47" s="2"/>
    </row>
    <row r="48" spans="1:4" ht="14.25" customHeight="1" x14ac:dyDescent="0.3">
      <c r="A48" s="3"/>
      <c r="B48" s="3"/>
      <c r="D48" s="2"/>
    </row>
    <row r="49" spans="1:4" ht="14.25" customHeight="1" x14ac:dyDescent="0.3">
      <c r="A49" s="3"/>
      <c r="B49" s="3"/>
      <c r="D49" s="2"/>
    </row>
    <row r="50" spans="1:4" ht="14.25" customHeight="1" x14ac:dyDescent="0.3">
      <c r="A50" s="3"/>
      <c r="B50" s="3"/>
      <c r="D50" s="2"/>
    </row>
    <row r="51" spans="1:4" ht="14.25" customHeight="1" x14ac:dyDescent="0.3">
      <c r="A51" s="3"/>
      <c r="B51" s="3"/>
      <c r="D51" s="2"/>
    </row>
    <row r="52" spans="1:4" ht="14.25" customHeight="1" x14ac:dyDescent="0.3">
      <c r="A52" s="3"/>
      <c r="B52" s="3"/>
      <c r="D52" s="2"/>
    </row>
    <row r="53" spans="1:4" ht="14.25" customHeight="1" x14ac:dyDescent="0.3">
      <c r="A53" s="3"/>
      <c r="B53" s="3"/>
      <c r="D53" s="2"/>
    </row>
    <row r="54" spans="1:4" ht="14.25" customHeight="1" x14ac:dyDescent="0.3">
      <c r="A54" s="3"/>
      <c r="B54" s="3"/>
      <c r="D54" s="2"/>
    </row>
    <row r="55" spans="1:4" ht="14.25" customHeight="1" x14ac:dyDescent="0.3">
      <c r="A55" s="3"/>
      <c r="B55" s="3"/>
      <c r="D55" s="2"/>
    </row>
    <row r="56" spans="1:4" ht="14.25" customHeight="1" x14ac:dyDescent="0.3">
      <c r="A56" s="3"/>
      <c r="B56" s="3"/>
      <c r="D56" s="2"/>
    </row>
    <row r="57" spans="1:4" ht="14.25" customHeight="1" x14ac:dyDescent="0.3">
      <c r="A57" s="3"/>
      <c r="B57" s="3"/>
      <c r="D57" s="2"/>
    </row>
    <row r="58" spans="1:4" ht="14.25" customHeight="1" x14ac:dyDescent="0.3">
      <c r="A58" s="3"/>
      <c r="B58" s="3"/>
      <c r="D58" s="2"/>
    </row>
    <row r="59" spans="1:4" ht="14.25" customHeight="1" x14ac:dyDescent="0.3">
      <c r="A59" s="3"/>
      <c r="B59" s="3"/>
      <c r="D59" s="2"/>
    </row>
    <row r="60" spans="1:4" ht="14.25" customHeight="1" x14ac:dyDescent="0.3">
      <c r="A60" s="3"/>
      <c r="B60" s="3"/>
      <c r="D60" s="2"/>
    </row>
    <row r="61" spans="1:4" ht="14.25" customHeight="1" x14ac:dyDescent="0.3">
      <c r="A61" s="3"/>
      <c r="B61" s="3"/>
      <c r="D61" s="2"/>
    </row>
    <row r="62" spans="1:4" ht="14.25" customHeight="1" x14ac:dyDescent="0.3">
      <c r="A62" s="3"/>
      <c r="B62" s="3"/>
      <c r="D62" s="2"/>
    </row>
    <row r="63" spans="1:4" ht="14.25" customHeight="1" x14ac:dyDescent="0.3">
      <c r="A63" s="3"/>
      <c r="B63" s="3"/>
      <c r="D63" s="2"/>
    </row>
    <row r="64" spans="1:4" ht="14.25" customHeight="1" x14ac:dyDescent="0.3">
      <c r="A64" s="3"/>
      <c r="B64" s="3"/>
      <c r="D64" s="2"/>
    </row>
    <row r="65" spans="1:4" ht="14.25" customHeight="1" x14ac:dyDescent="0.3">
      <c r="A65" s="3"/>
      <c r="B65" s="3"/>
      <c r="D65" s="2"/>
    </row>
    <row r="66" spans="1:4" ht="14.25" customHeight="1" x14ac:dyDescent="0.3">
      <c r="A66" s="3"/>
      <c r="B66" s="3"/>
      <c r="D66" s="2"/>
    </row>
    <row r="67" spans="1:4" ht="14.25" customHeight="1" x14ac:dyDescent="0.3">
      <c r="A67" s="3"/>
      <c r="B67" s="3"/>
      <c r="D67" s="2"/>
    </row>
    <row r="68" spans="1:4" ht="14.25" customHeight="1" x14ac:dyDescent="0.3">
      <c r="A68" s="3"/>
      <c r="B68" s="3"/>
      <c r="D68" s="2"/>
    </row>
    <row r="69" spans="1:4" ht="14.25" customHeight="1" x14ac:dyDescent="0.3">
      <c r="A69" s="3"/>
      <c r="B69" s="3"/>
      <c r="D69" s="2"/>
    </row>
    <row r="70" spans="1:4" ht="14.25" customHeight="1" x14ac:dyDescent="0.3">
      <c r="A70" s="3"/>
      <c r="B70" s="3"/>
      <c r="D70" s="2"/>
    </row>
    <row r="71" spans="1:4" ht="14.25" customHeight="1" x14ac:dyDescent="0.3">
      <c r="A71" s="3"/>
      <c r="B71" s="3"/>
      <c r="D71" s="2"/>
    </row>
    <row r="72" spans="1:4" ht="14.25" customHeight="1" x14ac:dyDescent="0.3">
      <c r="A72" s="3"/>
      <c r="B72" s="3"/>
      <c r="D72" s="2"/>
    </row>
    <row r="73" spans="1:4" ht="14.25" customHeight="1" x14ac:dyDescent="0.3">
      <c r="A73" s="3"/>
      <c r="B73" s="3"/>
      <c r="D73" s="2"/>
    </row>
    <row r="74" spans="1:4" ht="14.25" customHeight="1" x14ac:dyDescent="0.3">
      <c r="A74" s="3"/>
      <c r="B74" s="3"/>
      <c r="D74" s="2"/>
    </row>
    <row r="75" spans="1:4" ht="14.25" customHeight="1" x14ac:dyDescent="0.3">
      <c r="A75" s="3"/>
      <c r="B75" s="3"/>
      <c r="D75" s="2"/>
    </row>
    <row r="76" spans="1:4" ht="14.25" customHeight="1" x14ac:dyDescent="0.3">
      <c r="A76" s="3"/>
      <c r="B76" s="3"/>
      <c r="D76" s="2"/>
    </row>
    <row r="77" spans="1:4" ht="14.25" customHeight="1" x14ac:dyDescent="0.3">
      <c r="A77" s="3"/>
      <c r="B77" s="3"/>
      <c r="D77" s="2"/>
    </row>
    <row r="78" spans="1:4" ht="14.25" customHeight="1" x14ac:dyDescent="0.3">
      <c r="A78" s="3"/>
      <c r="B78" s="3"/>
      <c r="D78" s="2"/>
    </row>
    <row r="79" spans="1:4" ht="14.25" customHeight="1" x14ac:dyDescent="0.3">
      <c r="A79" s="3"/>
      <c r="B79" s="3"/>
      <c r="D79" s="2"/>
    </row>
    <row r="80" spans="1:4" ht="14.25" customHeight="1" x14ac:dyDescent="0.3">
      <c r="A80" s="3"/>
      <c r="B80" s="3"/>
      <c r="D80" s="2"/>
    </row>
    <row r="81" spans="1:4" ht="14.25" customHeight="1" x14ac:dyDescent="0.3">
      <c r="A81" s="3"/>
      <c r="B81" s="3"/>
      <c r="D81" s="2"/>
    </row>
    <row r="82" spans="1:4" ht="14.25" customHeight="1" x14ac:dyDescent="0.3">
      <c r="A82" s="3"/>
      <c r="B82" s="3"/>
      <c r="D82" s="2"/>
    </row>
    <row r="83" spans="1:4" ht="14.25" customHeight="1" x14ac:dyDescent="0.3">
      <c r="A83" s="3"/>
      <c r="B83" s="3"/>
      <c r="D83" s="2"/>
    </row>
    <row r="84" spans="1:4" ht="14.25" customHeight="1" x14ac:dyDescent="0.3">
      <c r="A84" s="3"/>
      <c r="B84" s="3"/>
      <c r="D84" s="2"/>
    </row>
    <row r="85" spans="1:4" ht="14.25" customHeight="1" x14ac:dyDescent="0.3">
      <c r="A85" s="3"/>
      <c r="B85" s="3"/>
      <c r="D85" s="2"/>
    </row>
    <row r="86" spans="1:4" ht="14.25" customHeight="1" x14ac:dyDescent="0.3">
      <c r="A86" s="3"/>
      <c r="B86" s="3"/>
      <c r="D86" s="2"/>
    </row>
    <row r="87" spans="1:4" ht="14.25" customHeight="1" x14ac:dyDescent="0.3">
      <c r="A87" s="3"/>
      <c r="B87" s="3"/>
      <c r="D87" s="2"/>
    </row>
    <row r="88" spans="1:4" ht="14.25" customHeight="1" x14ac:dyDescent="0.3">
      <c r="A88" s="3"/>
      <c r="B88" s="3"/>
      <c r="D88" s="2"/>
    </row>
    <row r="89" spans="1:4" ht="14.25" customHeight="1" x14ac:dyDescent="0.3">
      <c r="A89" s="3"/>
      <c r="B89" s="3"/>
      <c r="D89" s="2"/>
    </row>
    <row r="90" spans="1:4" ht="14.25" customHeight="1" x14ac:dyDescent="0.3">
      <c r="A90" s="3"/>
      <c r="B90" s="3"/>
      <c r="D90" s="2"/>
    </row>
    <row r="91" spans="1:4" ht="14.25" customHeight="1" x14ac:dyDescent="0.3">
      <c r="A91" s="3"/>
      <c r="B91" s="3"/>
      <c r="D91" s="2"/>
    </row>
    <row r="92" spans="1:4" ht="14.25" customHeight="1" x14ac:dyDescent="0.3">
      <c r="A92" s="3"/>
      <c r="B92" s="3"/>
      <c r="D92" s="2"/>
    </row>
    <row r="93" spans="1:4" ht="14.25" customHeight="1" x14ac:dyDescent="0.3">
      <c r="A93" s="3"/>
      <c r="B93" s="3"/>
      <c r="D93" s="2"/>
    </row>
    <row r="94" spans="1:4" ht="14.25" customHeight="1" x14ac:dyDescent="0.3">
      <c r="A94" s="3"/>
      <c r="B94" s="3"/>
      <c r="D94" s="2"/>
    </row>
    <row r="95" spans="1:4" ht="14.25" customHeight="1" x14ac:dyDescent="0.3">
      <c r="A95" s="3"/>
      <c r="B95" s="3"/>
      <c r="D95" s="2"/>
    </row>
    <row r="96" spans="1:4" ht="14.25" customHeight="1" x14ac:dyDescent="0.3">
      <c r="A96" s="3"/>
      <c r="B96" s="3"/>
      <c r="D96" s="2"/>
    </row>
    <row r="97" spans="1:4" ht="14.25" customHeight="1" x14ac:dyDescent="0.3">
      <c r="A97" s="3"/>
      <c r="B97" s="3"/>
      <c r="D97" s="2"/>
    </row>
    <row r="98" spans="1:4" ht="14.25" customHeight="1" x14ac:dyDescent="0.3">
      <c r="A98" s="3"/>
      <c r="B98" s="3"/>
      <c r="D98" s="2"/>
    </row>
    <row r="99" spans="1:4" ht="14.25" customHeight="1" x14ac:dyDescent="0.3">
      <c r="A99" s="3"/>
      <c r="B99" s="3"/>
      <c r="D99" s="2"/>
    </row>
    <row r="100" spans="1:4" ht="14.25" customHeight="1" x14ac:dyDescent="0.3">
      <c r="A100" s="3"/>
      <c r="B100" s="3"/>
      <c r="D100" s="2"/>
    </row>
    <row r="101" spans="1:4" ht="14.25" customHeight="1" x14ac:dyDescent="0.3">
      <c r="A101" s="3"/>
      <c r="B101" s="3"/>
      <c r="D101" s="2"/>
    </row>
    <row r="102" spans="1:4" ht="14.25" customHeight="1" x14ac:dyDescent="0.3">
      <c r="A102" s="3"/>
      <c r="B102" s="3"/>
      <c r="D102" s="2"/>
    </row>
    <row r="103" spans="1:4" ht="14.25" customHeight="1" x14ac:dyDescent="0.3">
      <c r="A103" s="3"/>
      <c r="B103" s="3"/>
      <c r="D103" s="2"/>
    </row>
    <row r="104" spans="1:4" ht="14.25" customHeight="1" x14ac:dyDescent="0.3">
      <c r="A104" s="3"/>
      <c r="B104" s="3"/>
      <c r="D104" s="2"/>
    </row>
    <row r="105" spans="1:4" ht="14.25" customHeight="1" x14ac:dyDescent="0.3">
      <c r="A105" s="3"/>
      <c r="B105" s="3"/>
      <c r="D105" s="2"/>
    </row>
    <row r="106" spans="1:4" ht="14.25" customHeight="1" x14ac:dyDescent="0.3">
      <c r="A106" s="3"/>
      <c r="B106" s="3"/>
      <c r="D106" s="2"/>
    </row>
    <row r="107" spans="1:4" ht="14.25" customHeight="1" x14ac:dyDescent="0.3">
      <c r="A107" s="3"/>
      <c r="B107" s="3"/>
      <c r="D107" s="2"/>
    </row>
    <row r="108" spans="1:4" ht="14.25" customHeight="1" x14ac:dyDescent="0.3">
      <c r="A108" s="3"/>
      <c r="B108" s="3"/>
      <c r="D108" s="2"/>
    </row>
    <row r="109" spans="1:4" ht="14.25" customHeight="1" x14ac:dyDescent="0.3">
      <c r="A109" s="3"/>
      <c r="B109" s="3"/>
      <c r="D109" s="2"/>
    </row>
    <row r="110" spans="1:4" ht="14.25" customHeight="1" x14ac:dyDescent="0.3">
      <c r="A110" s="3"/>
      <c r="B110" s="3"/>
      <c r="D110" s="2"/>
    </row>
    <row r="111" spans="1:4" ht="14.25" customHeight="1" x14ac:dyDescent="0.3">
      <c r="A111" s="3"/>
      <c r="B111" s="3"/>
      <c r="D111" s="2"/>
    </row>
    <row r="112" spans="1:4" ht="14.25" customHeight="1" x14ac:dyDescent="0.3">
      <c r="A112" s="3"/>
      <c r="B112" s="3"/>
      <c r="D112" s="2"/>
    </row>
    <row r="113" spans="1:4" ht="14.25" customHeight="1" x14ac:dyDescent="0.3">
      <c r="A113" s="3"/>
      <c r="B113" s="3"/>
      <c r="D113" s="2"/>
    </row>
    <row r="114" spans="1:4" ht="14.25" customHeight="1" x14ac:dyDescent="0.3">
      <c r="A114" s="3"/>
      <c r="B114" s="3"/>
      <c r="D114" s="2"/>
    </row>
    <row r="115" spans="1:4" ht="14.25" customHeight="1" x14ac:dyDescent="0.3">
      <c r="A115" s="3"/>
      <c r="B115" s="3"/>
      <c r="D115" s="2"/>
    </row>
    <row r="116" spans="1:4" ht="14.25" customHeight="1" x14ac:dyDescent="0.3">
      <c r="A116" s="3"/>
      <c r="B116" s="3"/>
      <c r="D116" s="2"/>
    </row>
    <row r="117" spans="1:4" ht="14.25" customHeight="1" x14ac:dyDescent="0.3">
      <c r="A117" s="3"/>
      <c r="B117" s="3"/>
      <c r="D117" s="2"/>
    </row>
    <row r="118" spans="1:4" ht="14.25" customHeight="1" x14ac:dyDescent="0.3">
      <c r="A118" s="3"/>
      <c r="B118" s="3"/>
      <c r="D118" s="2"/>
    </row>
    <row r="119" spans="1:4" ht="14.25" customHeight="1" x14ac:dyDescent="0.3">
      <c r="A119" s="3"/>
      <c r="B119" s="3"/>
      <c r="D119" s="2"/>
    </row>
    <row r="120" spans="1:4" ht="14.25" customHeight="1" x14ac:dyDescent="0.3">
      <c r="A120" s="3"/>
      <c r="B120" s="3"/>
      <c r="D120" s="2"/>
    </row>
    <row r="121" spans="1:4" ht="14.25" customHeight="1" x14ac:dyDescent="0.3">
      <c r="A121" s="3"/>
      <c r="B121" s="3"/>
      <c r="D121" s="2"/>
    </row>
    <row r="122" spans="1:4" ht="14.25" customHeight="1" x14ac:dyDescent="0.3">
      <c r="A122" s="3"/>
      <c r="B122" s="3"/>
      <c r="D122" s="2"/>
    </row>
    <row r="123" spans="1:4" ht="14.25" customHeight="1" x14ac:dyDescent="0.3">
      <c r="A123" s="3"/>
      <c r="B123" s="3"/>
      <c r="D123" s="2"/>
    </row>
    <row r="124" spans="1:4" ht="14.25" customHeight="1" x14ac:dyDescent="0.3">
      <c r="A124" s="3"/>
      <c r="B124" s="3"/>
      <c r="D124" s="2"/>
    </row>
    <row r="125" spans="1:4" ht="14.25" customHeight="1" x14ac:dyDescent="0.3">
      <c r="A125" s="3"/>
      <c r="B125" s="3"/>
      <c r="D125" s="2"/>
    </row>
    <row r="126" spans="1:4" ht="14.25" customHeight="1" x14ac:dyDescent="0.3">
      <c r="A126" s="3"/>
      <c r="B126" s="3"/>
      <c r="D126" s="2"/>
    </row>
    <row r="127" spans="1:4" ht="14.25" customHeight="1" x14ac:dyDescent="0.3">
      <c r="A127" s="3"/>
      <c r="B127" s="3"/>
      <c r="D127" s="2"/>
    </row>
    <row r="128" spans="1:4" ht="14.25" customHeight="1" x14ac:dyDescent="0.3">
      <c r="A128" s="3"/>
      <c r="B128" s="3"/>
      <c r="D128" s="2"/>
    </row>
    <row r="129" spans="1:4" ht="14.25" customHeight="1" x14ac:dyDescent="0.3">
      <c r="A129" s="3"/>
      <c r="B129" s="3"/>
      <c r="D129" s="2"/>
    </row>
    <row r="130" spans="1:4" ht="14.25" customHeight="1" x14ac:dyDescent="0.3">
      <c r="A130" s="3"/>
      <c r="B130" s="3"/>
      <c r="D130" s="2"/>
    </row>
    <row r="131" spans="1:4" ht="14.25" customHeight="1" x14ac:dyDescent="0.3">
      <c r="A131" s="3"/>
      <c r="B131" s="3"/>
      <c r="D131" s="2"/>
    </row>
    <row r="132" spans="1:4" ht="14.25" customHeight="1" x14ac:dyDescent="0.3">
      <c r="A132" s="3"/>
      <c r="B132" s="3"/>
      <c r="D132" s="2"/>
    </row>
    <row r="133" spans="1:4" ht="14.25" customHeight="1" x14ac:dyDescent="0.3">
      <c r="A133" s="3"/>
      <c r="B133" s="3"/>
      <c r="D133" s="2"/>
    </row>
    <row r="134" spans="1:4" ht="14.25" customHeight="1" x14ac:dyDescent="0.3">
      <c r="A134" s="3"/>
      <c r="B134" s="3"/>
      <c r="D134" s="2"/>
    </row>
    <row r="135" spans="1:4" ht="14.25" customHeight="1" x14ac:dyDescent="0.3">
      <c r="A135" s="3"/>
      <c r="B135" s="3"/>
      <c r="D135" s="2"/>
    </row>
    <row r="136" spans="1:4" ht="14.25" customHeight="1" x14ac:dyDescent="0.3">
      <c r="A136" s="3"/>
      <c r="B136" s="3"/>
      <c r="D136" s="2"/>
    </row>
    <row r="137" spans="1:4" ht="14.25" customHeight="1" x14ac:dyDescent="0.3">
      <c r="A137" s="3"/>
      <c r="B137" s="3"/>
      <c r="D137" s="2"/>
    </row>
    <row r="138" spans="1:4" ht="14.25" customHeight="1" x14ac:dyDescent="0.3">
      <c r="A138" s="3"/>
      <c r="B138" s="3"/>
      <c r="D138" s="2"/>
    </row>
    <row r="139" spans="1:4" ht="14.25" customHeight="1" x14ac:dyDescent="0.3">
      <c r="A139" s="3"/>
      <c r="B139" s="3"/>
      <c r="D139" s="2"/>
    </row>
    <row r="140" spans="1:4" ht="14.25" customHeight="1" x14ac:dyDescent="0.3">
      <c r="A140" s="3"/>
      <c r="B140" s="3"/>
      <c r="D140" s="2"/>
    </row>
    <row r="141" spans="1:4" ht="14.25" customHeight="1" x14ac:dyDescent="0.3">
      <c r="A141" s="3"/>
      <c r="B141" s="3"/>
      <c r="D141" s="2"/>
    </row>
    <row r="142" spans="1:4" ht="14.25" customHeight="1" x14ac:dyDescent="0.3">
      <c r="A142" s="3"/>
      <c r="B142" s="3"/>
      <c r="D142" s="2"/>
    </row>
    <row r="143" spans="1:4" ht="14.25" customHeight="1" x14ac:dyDescent="0.3">
      <c r="A143" s="3"/>
      <c r="B143" s="3"/>
      <c r="D143" s="2"/>
    </row>
    <row r="144" spans="1:4" ht="14.25" customHeight="1" x14ac:dyDescent="0.3">
      <c r="A144" s="3"/>
      <c r="B144" s="3"/>
      <c r="D144" s="2"/>
    </row>
    <row r="145" spans="1:4" ht="14.25" customHeight="1" x14ac:dyDescent="0.3">
      <c r="A145" s="3"/>
      <c r="B145" s="3"/>
      <c r="D145" s="2"/>
    </row>
    <row r="146" spans="1:4" ht="14.25" customHeight="1" x14ac:dyDescent="0.3">
      <c r="A146" s="3"/>
      <c r="B146" s="3"/>
      <c r="D146" s="2"/>
    </row>
    <row r="147" spans="1:4" ht="14.25" customHeight="1" x14ac:dyDescent="0.3">
      <c r="A147" s="3"/>
      <c r="B147" s="3"/>
      <c r="D147" s="2"/>
    </row>
    <row r="148" spans="1:4" ht="14.25" customHeight="1" x14ac:dyDescent="0.3">
      <c r="A148" s="3"/>
      <c r="B148" s="3"/>
      <c r="D148" s="2"/>
    </row>
    <row r="149" spans="1:4" ht="14.25" customHeight="1" x14ac:dyDescent="0.3">
      <c r="A149" s="3"/>
      <c r="B149" s="3"/>
      <c r="D149" s="2"/>
    </row>
    <row r="150" spans="1:4" ht="14.25" customHeight="1" x14ac:dyDescent="0.3">
      <c r="A150" s="3"/>
      <c r="B150" s="3"/>
      <c r="D150" s="2"/>
    </row>
    <row r="151" spans="1:4" ht="14.25" customHeight="1" x14ac:dyDescent="0.3">
      <c r="A151" s="3"/>
      <c r="B151" s="3"/>
      <c r="D151" s="2"/>
    </row>
    <row r="152" spans="1:4" ht="14.25" customHeight="1" x14ac:dyDescent="0.3">
      <c r="A152" s="3"/>
      <c r="B152" s="3"/>
      <c r="D152" s="2"/>
    </row>
    <row r="153" spans="1:4" ht="14.25" customHeight="1" x14ac:dyDescent="0.3">
      <c r="A153" s="3"/>
      <c r="B153" s="3"/>
      <c r="D153" s="2"/>
    </row>
    <row r="154" spans="1:4" ht="14.25" customHeight="1" x14ac:dyDescent="0.3">
      <c r="A154" s="3"/>
      <c r="B154" s="3"/>
      <c r="D154" s="2"/>
    </row>
    <row r="155" spans="1:4" ht="14.25" customHeight="1" x14ac:dyDescent="0.3">
      <c r="A155" s="3"/>
      <c r="B155" s="3"/>
      <c r="D155" s="2"/>
    </row>
    <row r="156" spans="1:4" ht="14.25" customHeight="1" x14ac:dyDescent="0.3">
      <c r="A156" s="3"/>
      <c r="B156" s="3"/>
      <c r="D156" s="2"/>
    </row>
    <row r="157" spans="1:4" ht="14.25" customHeight="1" x14ac:dyDescent="0.3">
      <c r="A157" s="3"/>
      <c r="B157" s="3"/>
      <c r="D157" s="2"/>
    </row>
    <row r="158" spans="1:4" ht="14.25" customHeight="1" x14ac:dyDescent="0.3">
      <c r="A158" s="3"/>
      <c r="B158" s="3"/>
      <c r="D158" s="2"/>
    </row>
    <row r="159" spans="1:4" ht="14.25" customHeight="1" x14ac:dyDescent="0.3">
      <c r="A159" s="3"/>
      <c r="B159" s="3"/>
      <c r="D159" s="2"/>
    </row>
    <row r="160" spans="1:4" ht="14.25" customHeight="1" x14ac:dyDescent="0.3">
      <c r="A160" s="3"/>
      <c r="B160" s="3"/>
      <c r="D160" s="2"/>
    </row>
    <row r="161" spans="1:4" ht="14.25" customHeight="1" x14ac:dyDescent="0.3">
      <c r="A161" s="3"/>
      <c r="B161" s="3"/>
      <c r="D161" s="2"/>
    </row>
    <row r="162" spans="1:4" ht="14.25" customHeight="1" x14ac:dyDescent="0.3">
      <c r="A162" s="3"/>
      <c r="B162" s="3"/>
      <c r="D162" s="2"/>
    </row>
    <row r="163" spans="1:4" ht="14.25" customHeight="1" x14ac:dyDescent="0.3">
      <c r="A163" s="3"/>
      <c r="B163" s="3"/>
      <c r="D163" s="2"/>
    </row>
    <row r="164" spans="1:4" ht="14.25" customHeight="1" x14ac:dyDescent="0.3">
      <c r="A164" s="3"/>
      <c r="B164" s="3"/>
      <c r="D164" s="2"/>
    </row>
    <row r="165" spans="1:4" ht="14.25" customHeight="1" x14ac:dyDescent="0.3">
      <c r="A165" s="3"/>
      <c r="B165" s="3"/>
      <c r="D165" s="2"/>
    </row>
    <row r="166" spans="1:4" ht="14.25" customHeight="1" x14ac:dyDescent="0.3">
      <c r="A166" s="3"/>
      <c r="B166" s="3"/>
      <c r="D166" s="2"/>
    </row>
    <row r="167" spans="1:4" ht="14.25" customHeight="1" x14ac:dyDescent="0.3">
      <c r="A167" s="3"/>
      <c r="B167" s="3"/>
      <c r="D167" s="2"/>
    </row>
    <row r="168" spans="1:4" ht="14.25" customHeight="1" x14ac:dyDescent="0.3">
      <c r="A168" s="3"/>
      <c r="B168" s="3"/>
      <c r="D168" s="2"/>
    </row>
    <row r="169" spans="1:4" ht="14.25" customHeight="1" x14ac:dyDescent="0.3">
      <c r="A169" s="3"/>
      <c r="B169" s="3"/>
      <c r="D169" s="2"/>
    </row>
    <row r="170" spans="1:4" ht="14.25" customHeight="1" x14ac:dyDescent="0.3">
      <c r="A170" s="3"/>
      <c r="B170" s="3"/>
      <c r="D170" s="2"/>
    </row>
    <row r="171" spans="1:4" ht="14.25" customHeight="1" x14ac:dyDescent="0.3">
      <c r="A171" s="3"/>
      <c r="B171" s="3"/>
      <c r="D171" s="2"/>
    </row>
    <row r="172" spans="1:4" ht="14.25" customHeight="1" x14ac:dyDescent="0.3">
      <c r="A172" s="3"/>
      <c r="B172" s="3"/>
      <c r="D172" s="2"/>
    </row>
    <row r="173" spans="1:4" ht="14.25" customHeight="1" x14ac:dyDescent="0.3">
      <c r="A173" s="3"/>
      <c r="B173" s="3"/>
      <c r="D173" s="2"/>
    </row>
    <row r="174" spans="1:4" ht="14.25" customHeight="1" x14ac:dyDescent="0.3">
      <c r="A174" s="3"/>
      <c r="B174" s="3"/>
      <c r="D174" s="2"/>
    </row>
    <row r="175" spans="1:4" ht="14.25" customHeight="1" x14ac:dyDescent="0.3">
      <c r="A175" s="3"/>
      <c r="B175" s="3"/>
      <c r="D175" s="2"/>
    </row>
    <row r="176" spans="1:4" ht="14.25" customHeight="1" x14ac:dyDescent="0.3">
      <c r="A176" s="3"/>
      <c r="B176" s="3"/>
      <c r="D176" s="2"/>
    </row>
    <row r="177" spans="1:4" ht="14.25" customHeight="1" x14ac:dyDescent="0.3">
      <c r="A177" s="3"/>
      <c r="B177" s="3"/>
      <c r="D177" s="2"/>
    </row>
    <row r="178" spans="1:4" ht="14.25" customHeight="1" x14ac:dyDescent="0.3">
      <c r="A178" s="3"/>
      <c r="B178" s="3"/>
      <c r="D178" s="2"/>
    </row>
    <row r="179" spans="1:4" ht="14.25" customHeight="1" x14ac:dyDescent="0.3">
      <c r="A179" s="3"/>
      <c r="B179" s="3"/>
      <c r="D179" s="2"/>
    </row>
    <row r="180" spans="1:4" ht="14.25" customHeight="1" x14ac:dyDescent="0.3">
      <c r="A180" s="3"/>
      <c r="B180" s="3"/>
      <c r="D180" s="2"/>
    </row>
    <row r="181" spans="1:4" ht="14.25" customHeight="1" x14ac:dyDescent="0.3">
      <c r="A181" s="3"/>
      <c r="B181" s="3"/>
      <c r="D181" s="2"/>
    </row>
    <row r="182" spans="1:4" ht="14.25" customHeight="1" x14ac:dyDescent="0.3">
      <c r="A182" s="3"/>
      <c r="B182" s="3"/>
      <c r="D182" s="2"/>
    </row>
    <row r="183" spans="1:4" ht="14.25" customHeight="1" x14ac:dyDescent="0.3">
      <c r="A183" s="3"/>
      <c r="B183" s="3"/>
      <c r="D183" s="2"/>
    </row>
    <row r="184" spans="1:4" ht="14.25" customHeight="1" x14ac:dyDescent="0.3">
      <c r="A184" s="3"/>
      <c r="B184" s="3"/>
      <c r="D184" s="2"/>
    </row>
    <row r="185" spans="1:4" ht="14.25" customHeight="1" x14ac:dyDescent="0.3">
      <c r="A185" s="3"/>
      <c r="B185" s="3"/>
      <c r="D185" s="2"/>
    </row>
    <row r="186" spans="1:4" ht="14.25" customHeight="1" x14ac:dyDescent="0.3">
      <c r="A186" s="3"/>
      <c r="B186" s="3"/>
      <c r="D186" s="2"/>
    </row>
    <row r="187" spans="1:4" ht="14.25" customHeight="1" x14ac:dyDescent="0.3">
      <c r="A187" s="3"/>
      <c r="B187" s="3"/>
      <c r="D187" s="2"/>
    </row>
    <row r="188" spans="1:4" ht="14.25" customHeight="1" x14ac:dyDescent="0.3">
      <c r="A188" s="3"/>
      <c r="B188" s="3"/>
      <c r="D188" s="2"/>
    </row>
    <row r="189" spans="1:4" ht="14.25" customHeight="1" x14ac:dyDescent="0.3">
      <c r="A189" s="3"/>
      <c r="B189" s="3"/>
      <c r="D189" s="2"/>
    </row>
    <row r="190" spans="1:4" ht="14.25" customHeight="1" x14ac:dyDescent="0.3">
      <c r="A190" s="3"/>
      <c r="B190" s="3"/>
      <c r="D190" s="2"/>
    </row>
    <row r="191" spans="1:4" ht="14.25" customHeight="1" x14ac:dyDescent="0.3">
      <c r="A191" s="3"/>
      <c r="B191" s="3"/>
      <c r="D191" s="2"/>
    </row>
    <row r="192" spans="1:4" ht="14.25" customHeight="1" x14ac:dyDescent="0.3">
      <c r="A192" s="3"/>
      <c r="B192" s="3"/>
      <c r="D192" s="2"/>
    </row>
    <row r="193" spans="1:4" ht="14.25" customHeight="1" x14ac:dyDescent="0.3">
      <c r="A193" s="3"/>
      <c r="B193" s="3"/>
      <c r="D193" s="2"/>
    </row>
    <row r="194" spans="1:4" ht="14.25" customHeight="1" x14ac:dyDescent="0.3">
      <c r="A194" s="3"/>
      <c r="B194" s="3"/>
      <c r="D194" s="2"/>
    </row>
    <row r="195" spans="1:4" ht="14.25" customHeight="1" x14ac:dyDescent="0.3">
      <c r="A195" s="3"/>
      <c r="B195" s="3"/>
      <c r="D195" s="2"/>
    </row>
    <row r="196" spans="1:4" ht="14.25" customHeight="1" x14ac:dyDescent="0.3">
      <c r="A196" s="3"/>
      <c r="B196" s="3"/>
      <c r="D196" s="2"/>
    </row>
    <row r="197" spans="1:4" ht="14.25" customHeight="1" x14ac:dyDescent="0.3">
      <c r="A197" s="3"/>
      <c r="B197" s="3"/>
      <c r="D197" s="2"/>
    </row>
    <row r="198" spans="1:4" ht="14.25" customHeight="1" x14ac:dyDescent="0.3">
      <c r="A198" s="3"/>
      <c r="B198" s="3"/>
      <c r="D198" s="2"/>
    </row>
    <row r="199" spans="1:4" ht="14.25" customHeight="1" x14ac:dyDescent="0.3">
      <c r="A199" s="3"/>
      <c r="B199" s="3"/>
      <c r="D199" s="2"/>
    </row>
    <row r="200" spans="1:4" ht="14.25" customHeight="1" x14ac:dyDescent="0.3">
      <c r="A200" s="3"/>
      <c r="B200" s="3"/>
      <c r="D200" s="2"/>
    </row>
    <row r="201" spans="1:4" ht="14.25" customHeight="1" x14ac:dyDescent="0.3">
      <c r="A201" s="3"/>
      <c r="B201" s="3"/>
      <c r="D201" s="2"/>
    </row>
    <row r="202" spans="1:4" ht="14.25" customHeight="1" x14ac:dyDescent="0.3">
      <c r="A202" s="3"/>
      <c r="B202" s="3"/>
      <c r="D202" s="2"/>
    </row>
    <row r="203" spans="1:4" ht="14.25" customHeight="1" x14ac:dyDescent="0.3">
      <c r="A203" s="3"/>
      <c r="B203" s="3"/>
      <c r="D203" s="2"/>
    </row>
    <row r="204" spans="1:4" ht="14.25" customHeight="1" x14ac:dyDescent="0.3">
      <c r="A204" s="3"/>
      <c r="B204" s="3"/>
      <c r="D204" s="2"/>
    </row>
    <row r="205" spans="1:4" ht="14.25" customHeight="1" x14ac:dyDescent="0.3">
      <c r="A205" s="3"/>
      <c r="B205" s="3"/>
      <c r="D205" s="2"/>
    </row>
    <row r="206" spans="1:4" ht="14.25" customHeight="1" x14ac:dyDescent="0.3">
      <c r="A206" s="3"/>
      <c r="B206" s="3"/>
      <c r="D206" s="2"/>
    </row>
    <row r="207" spans="1:4" ht="14.25" customHeight="1" x14ac:dyDescent="0.3">
      <c r="A207" s="3"/>
      <c r="B207" s="3"/>
      <c r="D207" s="2"/>
    </row>
    <row r="208" spans="1:4" ht="14.25" customHeight="1" x14ac:dyDescent="0.3">
      <c r="A208" s="3"/>
      <c r="B208" s="3"/>
      <c r="D208" s="2"/>
    </row>
    <row r="209" spans="1:4" ht="14.25" customHeight="1" x14ac:dyDescent="0.3">
      <c r="A209" s="3"/>
      <c r="B209" s="3"/>
      <c r="D209" s="2"/>
    </row>
    <row r="210" spans="1:4" ht="14.25" customHeight="1" x14ac:dyDescent="0.3">
      <c r="A210" s="3"/>
      <c r="B210" s="3"/>
      <c r="D210" s="2"/>
    </row>
    <row r="211" spans="1:4" ht="14.25" customHeight="1" x14ac:dyDescent="0.3">
      <c r="A211" s="3"/>
      <c r="B211" s="3"/>
      <c r="D211" s="2"/>
    </row>
    <row r="212" spans="1:4" ht="14.25" customHeight="1" x14ac:dyDescent="0.3">
      <c r="A212" s="3"/>
      <c r="B212" s="3"/>
      <c r="D212" s="2"/>
    </row>
    <row r="213" spans="1:4" ht="14.25" customHeight="1" x14ac:dyDescent="0.3">
      <c r="A213" s="3"/>
      <c r="B213" s="3"/>
      <c r="D213" s="2"/>
    </row>
    <row r="214" spans="1:4" ht="14.25" customHeight="1" x14ac:dyDescent="0.3">
      <c r="A214" s="3"/>
      <c r="B214" s="3"/>
      <c r="D214" s="2"/>
    </row>
    <row r="215" spans="1:4" ht="14.25" customHeight="1" x14ac:dyDescent="0.3">
      <c r="A215" s="3"/>
      <c r="B215" s="3"/>
      <c r="D215" s="2"/>
    </row>
    <row r="216" spans="1:4" ht="14.25" customHeight="1" x14ac:dyDescent="0.3">
      <c r="A216" s="3"/>
      <c r="B216" s="3"/>
      <c r="D216" s="2"/>
    </row>
    <row r="217" spans="1:4" ht="14.25" customHeight="1" x14ac:dyDescent="0.3">
      <c r="A217" s="3"/>
      <c r="B217" s="3"/>
      <c r="D217" s="2"/>
    </row>
    <row r="218" spans="1:4" ht="14.25" customHeight="1" x14ac:dyDescent="0.3">
      <c r="A218" s="3"/>
      <c r="B218" s="3"/>
      <c r="D218" s="2"/>
    </row>
    <row r="219" spans="1:4" ht="14.25" customHeight="1" x14ac:dyDescent="0.3">
      <c r="A219" s="3"/>
      <c r="B219" s="3"/>
      <c r="D219" s="2"/>
    </row>
    <row r="220" spans="1:4" ht="14.25" customHeight="1" x14ac:dyDescent="0.3">
      <c r="A220" s="3"/>
      <c r="B220" s="3"/>
      <c r="D220" s="2"/>
    </row>
    <row r="221" spans="1:4" ht="14.25" customHeight="1" x14ac:dyDescent="0.3">
      <c r="A221" s="3"/>
      <c r="B221" s="3"/>
      <c r="D221" s="2"/>
    </row>
    <row r="222" spans="1:4" ht="14.25" customHeight="1" x14ac:dyDescent="0.3">
      <c r="A222" s="3"/>
      <c r="B222" s="3"/>
      <c r="D222" s="2"/>
    </row>
    <row r="223" spans="1:4" ht="14.25" customHeight="1" x14ac:dyDescent="0.3">
      <c r="A223" s="3"/>
      <c r="B223" s="3"/>
      <c r="D223" s="2"/>
    </row>
    <row r="224" spans="1:4" ht="14.25" customHeight="1" x14ac:dyDescent="0.3">
      <c r="A224" s="3"/>
      <c r="B224" s="3"/>
      <c r="D224" s="2"/>
    </row>
    <row r="225" spans="1:4" ht="14.25" customHeight="1" x14ac:dyDescent="0.3">
      <c r="A225" s="3"/>
      <c r="B225" s="3"/>
      <c r="D225" s="2"/>
    </row>
    <row r="226" spans="1:4" ht="14.25" customHeight="1" x14ac:dyDescent="0.3">
      <c r="A226" s="3"/>
      <c r="B226" s="3"/>
      <c r="D226" s="2"/>
    </row>
    <row r="227" spans="1:4" ht="14.25" customHeight="1" x14ac:dyDescent="0.3">
      <c r="A227" s="3"/>
      <c r="B227" s="3"/>
      <c r="D227" s="2"/>
    </row>
    <row r="228" spans="1:4" ht="14.25" customHeight="1" x14ac:dyDescent="0.3">
      <c r="A228" s="3"/>
      <c r="B228" s="3"/>
      <c r="D228" s="2"/>
    </row>
    <row r="229" spans="1:4" ht="14.25" customHeight="1" x14ac:dyDescent="0.3">
      <c r="A229" s="3"/>
      <c r="B229" s="3"/>
      <c r="D229" s="2"/>
    </row>
    <row r="230" spans="1:4" ht="14.25" customHeight="1" x14ac:dyDescent="0.3">
      <c r="A230" s="3"/>
      <c r="B230" s="3"/>
      <c r="D230" s="2"/>
    </row>
    <row r="231" spans="1:4" ht="14.25" customHeight="1" x14ac:dyDescent="0.3">
      <c r="A231" s="3"/>
      <c r="B231" s="3"/>
      <c r="D231" s="2"/>
    </row>
    <row r="232" spans="1:4" ht="14.25" customHeight="1" x14ac:dyDescent="0.3">
      <c r="A232" s="3"/>
      <c r="B232" s="3"/>
      <c r="D232" s="2"/>
    </row>
    <row r="233" spans="1:4" ht="14.25" customHeight="1" x14ac:dyDescent="0.3">
      <c r="A233" s="3"/>
      <c r="B233" s="3"/>
      <c r="D233" s="2"/>
    </row>
    <row r="234" spans="1:4" ht="14.25" customHeight="1" x14ac:dyDescent="0.3">
      <c r="A234" s="3"/>
      <c r="B234" s="3"/>
      <c r="D234" s="2"/>
    </row>
    <row r="235" spans="1:4" ht="14.25" customHeight="1" x14ac:dyDescent="0.3">
      <c r="A235" s="3"/>
      <c r="B235" s="3"/>
      <c r="D235" s="2"/>
    </row>
    <row r="236" spans="1:4" ht="14.25" customHeight="1" x14ac:dyDescent="0.3">
      <c r="A236" s="3"/>
      <c r="B236" s="3"/>
      <c r="D236" s="2"/>
    </row>
    <row r="237" spans="1:4" ht="14.25" customHeight="1" x14ac:dyDescent="0.3">
      <c r="A237" s="3"/>
      <c r="B237" s="3"/>
      <c r="D237" s="2"/>
    </row>
    <row r="238" spans="1:4" ht="14.25" customHeight="1" x14ac:dyDescent="0.3">
      <c r="A238" s="3"/>
      <c r="B238" s="3"/>
      <c r="D238" s="2"/>
    </row>
    <row r="239" spans="1:4" ht="14.25" customHeight="1" x14ac:dyDescent="0.3">
      <c r="A239" s="3"/>
      <c r="B239" s="3"/>
      <c r="D239" s="2"/>
    </row>
    <row r="240" spans="1:4" ht="14.25" customHeight="1" x14ac:dyDescent="0.3">
      <c r="A240" s="3"/>
      <c r="B240" s="3"/>
      <c r="D240" s="2"/>
    </row>
    <row r="241" spans="1:4" ht="14.25" customHeight="1" x14ac:dyDescent="0.3">
      <c r="A241" s="3"/>
      <c r="B241" s="3"/>
      <c r="D241" s="2"/>
    </row>
    <row r="242" spans="1:4" ht="14.25" customHeight="1" x14ac:dyDescent="0.3">
      <c r="A242" s="3"/>
      <c r="B242" s="3"/>
      <c r="D242" s="2"/>
    </row>
    <row r="243" spans="1:4" ht="14.25" customHeight="1" x14ac:dyDescent="0.3">
      <c r="A243" s="3"/>
      <c r="B243" s="3"/>
      <c r="D243" s="2"/>
    </row>
    <row r="244" spans="1:4" ht="14.25" customHeight="1" x14ac:dyDescent="0.3">
      <c r="A244" s="3"/>
      <c r="B244" s="3"/>
      <c r="D244" s="2"/>
    </row>
    <row r="245" spans="1:4" ht="14.25" customHeight="1" x14ac:dyDescent="0.3">
      <c r="A245" s="3"/>
      <c r="B245" s="3"/>
      <c r="D245" s="2"/>
    </row>
    <row r="246" spans="1:4" ht="14.25" customHeight="1" x14ac:dyDescent="0.3">
      <c r="A246" s="3"/>
      <c r="B246" s="3"/>
      <c r="D246" s="2"/>
    </row>
    <row r="247" spans="1:4" ht="14.25" customHeight="1" x14ac:dyDescent="0.3">
      <c r="A247" s="3"/>
      <c r="B247" s="3"/>
      <c r="D247" s="2"/>
    </row>
    <row r="248" spans="1:4" ht="14.25" customHeight="1" x14ac:dyDescent="0.3">
      <c r="A248" s="3"/>
      <c r="B248" s="3"/>
      <c r="D248" s="2"/>
    </row>
    <row r="249" spans="1:4" ht="14.25" customHeight="1" x14ac:dyDescent="0.3">
      <c r="A249" s="3"/>
      <c r="B249" s="3"/>
      <c r="D249" s="2"/>
    </row>
    <row r="250" spans="1:4" ht="14.25" customHeight="1" x14ac:dyDescent="0.3">
      <c r="A250" s="3"/>
      <c r="B250" s="3"/>
      <c r="D250" s="2"/>
    </row>
    <row r="251" spans="1:4" ht="14.25" customHeight="1" x14ac:dyDescent="0.3">
      <c r="A251" s="3"/>
      <c r="B251" s="3"/>
      <c r="D251" s="2"/>
    </row>
    <row r="252" spans="1:4" ht="14.25" customHeight="1" x14ac:dyDescent="0.3">
      <c r="A252" s="3"/>
      <c r="B252" s="3"/>
      <c r="D252" s="2"/>
    </row>
    <row r="253" spans="1:4" ht="14.25" customHeight="1" x14ac:dyDescent="0.3">
      <c r="A253" s="3"/>
      <c r="B253" s="3"/>
      <c r="D253" s="2"/>
    </row>
    <row r="254" spans="1:4" ht="14.25" customHeight="1" x14ac:dyDescent="0.3">
      <c r="A254" s="3"/>
      <c r="B254" s="3"/>
      <c r="D254" s="2"/>
    </row>
    <row r="255" spans="1:4" ht="14.25" customHeight="1" x14ac:dyDescent="0.3">
      <c r="A255" s="3"/>
      <c r="B255" s="3"/>
      <c r="D255" s="2"/>
    </row>
    <row r="256" spans="1:4" ht="14.25" customHeight="1" x14ac:dyDescent="0.3">
      <c r="A256" s="3"/>
      <c r="B256" s="3"/>
      <c r="D256" s="2"/>
    </row>
    <row r="257" spans="1:4" ht="14.25" customHeight="1" x14ac:dyDescent="0.3">
      <c r="A257" s="3"/>
      <c r="B257" s="3"/>
      <c r="D257" s="2"/>
    </row>
    <row r="258" spans="1:4" ht="14.25" customHeight="1" x14ac:dyDescent="0.3">
      <c r="A258" s="3"/>
      <c r="B258" s="3"/>
      <c r="D258" s="2"/>
    </row>
    <row r="259" spans="1:4" ht="14.25" customHeight="1" x14ac:dyDescent="0.3">
      <c r="A259" s="3"/>
      <c r="B259" s="3"/>
      <c r="D259" s="2"/>
    </row>
    <row r="260" spans="1:4" ht="14.25" customHeight="1" x14ac:dyDescent="0.3">
      <c r="A260" s="3"/>
      <c r="B260" s="3"/>
      <c r="D260" s="2"/>
    </row>
    <row r="261" spans="1:4" ht="14.25" customHeight="1" x14ac:dyDescent="0.3">
      <c r="A261" s="3"/>
      <c r="B261" s="3"/>
      <c r="D261" s="2"/>
    </row>
    <row r="262" spans="1:4" ht="14.25" customHeight="1" x14ac:dyDescent="0.3">
      <c r="A262" s="3"/>
      <c r="B262" s="3"/>
      <c r="D262" s="2"/>
    </row>
    <row r="263" spans="1:4" ht="14.25" customHeight="1" x14ac:dyDescent="0.3">
      <c r="A263" s="3"/>
      <c r="B263" s="3"/>
      <c r="D263" s="2"/>
    </row>
    <row r="264" spans="1:4" ht="14.25" customHeight="1" x14ac:dyDescent="0.3">
      <c r="A264" s="3"/>
      <c r="B264" s="3"/>
      <c r="D264" s="2"/>
    </row>
    <row r="265" spans="1:4" ht="14.25" customHeight="1" x14ac:dyDescent="0.3">
      <c r="A265" s="3"/>
      <c r="B265" s="3"/>
      <c r="D265" s="2"/>
    </row>
    <row r="266" spans="1:4" ht="14.25" customHeight="1" x14ac:dyDescent="0.3">
      <c r="A266" s="3"/>
      <c r="B266" s="3"/>
      <c r="D266" s="2"/>
    </row>
    <row r="267" spans="1:4" ht="14.25" customHeight="1" x14ac:dyDescent="0.3">
      <c r="A267" s="3"/>
      <c r="B267" s="3"/>
      <c r="D267" s="2"/>
    </row>
    <row r="268" spans="1:4" ht="14.25" customHeight="1" x14ac:dyDescent="0.3">
      <c r="A268" s="3"/>
      <c r="B268" s="3"/>
      <c r="D268" s="2"/>
    </row>
    <row r="269" spans="1:4" ht="14.25" customHeight="1" x14ac:dyDescent="0.3">
      <c r="A269" s="3"/>
      <c r="B269" s="3"/>
      <c r="D269" s="2"/>
    </row>
    <row r="270" spans="1:4" ht="14.25" customHeight="1" x14ac:dyDescent="0.3">
      <c r="A270" s="3"/>
      <c r="B270" s="3"/>
      <c r="D270" s="2"/>
    </row>
    <row r="271" spans="1:4" ht="14.25" customHeight="1" x14ac:dyDescent="0.3">
      <c r="A271" s="3"/>
      <c r="B271" s="3"/>
      <c r="D271" s="2"/>
    </row>
    <row r="272" spans="1:4" ht="14.25" customHeight="1" x14ac:dyDescent="0.3">
      <c r="A272" s="3"/>
      <c r="B272" s="3"/>
      <c r="D272" s="2"/>
    </row>
    <row r="273" spans="1:4" ht="14.25" customHeight="1" x14ac:dyDescent="0.3">
      <c r="A273" s="3"/>
      <c r="B273" s="3"/>
      <c r="D273" s="2"/>
    </row>
    <row r="274" spans="1:4" ht="14.25" customHeight="1" x14ac:dyDescent="0.3">
      <c r="A274" s="3"/>
      <c r="B274" s="3"/>
      <c r="D274" s="2"/>
    </row>
    <row r="275" spans="1:4" ht="14.25" customHeight="1" x14ac:dyDescent="0.3">
      <c r="A275" s="3"/>
      <c r="B275" s="3"/>
      <c r="D275" s="2"/>
    </row>
    <row r="276" spans="1:4" ht="14.25" customHeight="1" x14ac:dyDescent="0.3">
      <c r="A276" s="3"/>
      <c r="B276" s="3"/>
      <c r="D276" s="2"/>
    </row>
    <row r="277" spans="1:4" ht="14.25" customHeight="1" x14ac:dyDescent="0.3">
      <c r="A277" s="3"/>
      <c r="B277" s="3"/>
      <c r="D277" s="2"/>
    </row>
    <row r="278" spans="1:4" ht="14.25" customHeight="1" x14ac:dyDescent="0.3">
      <c r="A278" s="3"/>
      <c r="B278" s="3"/>
      <c r="D278" s="2"/>
    </row>
    <row r="279" spans="1:4" ht="14.25" customHeight="1" x14ac:dyDescent="0.3">
      <c r="A279" s="3"/>
      <c r="B279" s="3"/>
      <c r="D279" s="2"/>
    </row>
    <row r="280" spans="1:4" ht="14.25" customHeight="1" x14ac:dyDescent="0.3">
      <c r="A280" s="3"/>
      <c r="B280" s="3"/>
      <c r="D280" s="2"/>
    </row>
    <row r="281" spans="1:4" ht="14.25" customHeight="1" x14ac:dyDescent="0.3">
      <c r="A281" s="3"/>
      <c r="B281" s="3"/>
      <c r="D281" s="2"/>
    </row>
    <row r="282" spans="1:4" ht="14.25" customHeight="1" x14ac:dyDescent="0.3">
      <c r="A282" s="3"/>
      <c r="B282" s="3"/>
      <c r="D282" s="2"/>
    </row>
    <row r="283" spans="1:4" ht="14.25" customHeight="1" x14ac:dyDescent="0.3">
      <c r="A283" s="3"/>
      <c r="B283" s="3"/>
      <c r="D283" s="2"/>
    </row>
    <row r="284" spans="1:4" ht="14.25" customHeight="1" x14ac:dyDescent="0.3">
      <c r="A284" s="3"/>
      <c r="B284" s="3"/>
      <c r="D284" s="2"/>
    </row>
    <row r="285" spans="1:4" ht="14.25" customHeight="1" x14ac:dyDescent="0.3">
      <c r="A285" s="3"/>
      <c r="B285" s="3"/>
      <c r="D285" s="2"/>
    </row>
    <row r="286" spans="1:4" ht="14.25" customHeight="1" x14ac:dyDescent="0.3">
      <c r="A286" s="3"/>
      <c r="B286" s="3"/>
      <c r="D286" s="2"/>
    </row>
    <row r="287" spans="1:4" ht="14.25" customHeight="1" x14ac:dyDescent="0.3">
      <c r="A287" s="3"/>
      <c r="B287" s="3"/>
      <c r="D287" s="2"/>
    </row>
    <row r="288" spans="1:4" ht="14.25" customHeight="1" x14ac:dyDescent="0.3">
      <c r="A288" s="3"/>
      <c r="B288" s="3"/>
      <c r="D288" s="2"/>
    </row>
    <row r="289" spans="1:4" ht="14.25" customHeight="1" x14ac:dyDescent="0.3">
      <c r="A289" s="3"/>
      <c r="B289" s="3"/>
      <c r="D289" s="2"/>
    </row>
    <row r="290" spans="1:4" ht="14.25" customHeight="1" x14ac:dyDescent="0.3">
      <c r="A290" s="3"/>
      <c r="B290" s="3"/>
      <c r="D290" s="2"/>
    </row>
    <row r="291" spans="1:4" ht="14.25" customHeight="1" x14ac:dyDescent="0.3">
      <c r="A291" s="3"/>
      <c r="B291" s="3"/>
      <c r="D291" s="2"/>
    </row>
    <row r="292" spans="1:4" ht="14.25" customHeight="1" x14ac:dyDescent="0.3">
      <c r="A292" s="3"/>
      <c r="B292" s="3"/>
      <c r="D292" s="2"/>
    </row>
    <row r="293" spans="1:4" ht="14.25" customHeight="1" x14ac:dyDescent="0.3">
      <c r="A293" s="3"/>
      <c r="B293" s="3"/>
      <c r="D293" s="2"/>
    </row>
    <row r="294" spans="1:4" ht="14.25" customHeight="1" x14ac:dyDescent="0.3">
      <c r="A294" s="3"/>
      <c r="B294" s="3"/>
      <c r="D294" s="2"/>
    </row>
    <row r="295" spans="1:4" ht="14.25" customHeight="1" x14ac:dyDescent="0.3">
      <c r="A295" s="3"/>
      <c r="B295" s="3"/>
      <c r="D295" s="2"/>
    </row>
    <row r="296" spans="1:4" ht="14.25" customHeight="1" x14ac:dyDescent="0.3">
      <c r="A296" s="3"/>
      <c r="B296" s="3"/>
      <c r="D296" s="2"/>
    </row>
    <row r="297" spans="1:4" ht="14.25" customHeight="1" x14ac:dyDescent="0.3">
      <c r="A297" s="3"/>
      <c r="B297" s="3"/>
      <c r="D297" s="2"/>
    </row>
    <row r="298" spans="1:4" ht="14.25" customHeight="1" x14ac:dyDescent="0.3">
      <c r="A298" s="3"/>
      <c r="B298" s="3"/>
      <c r="D298" s="2"/>
    </row>
    <row r="299" spans="1:4" ht="14.25" customHeight="1" x14ac:dyDescent="0.3">
      <c r="A299" s="3"/>
      <c r="B299" s="3"/>
      <c r="D299" s="2"/>
    </row>
    <row r="300" spans="1:4" ht="14.25" customHeight="1" x14ac:dyDescent="0.3">
      <c r="A300" s="3"/>
      <c r="B300" s="3"/>
      <c r="D300" s="2"/>
    </row>
    <row r="301" spans="1:4" ht="14.25" customHeight="1" x14ac:dyDescent="0.3">
      <c r="A301" s="3"/>
      <c r="B301" s="3"/>
      <c r="D301" s="2"/>
    </row>
    <row r="302" spans="1:4" ht="14.25" customHeight="1" x14ac:dyDescent="0.3">
      <c r="A302" s="3"/>
      <c r="B302" s="3"/>
      <c r="D302" s="2"/>
    </row>
    <row r="303" spans="1:4" ht="14.25" customHeight="1" x14ac:dyDescent="0.3">
      <c r="A303" s="3"/>
      <c r="B303" s="3"/>
      <c r="D303" s="2"/>
    </row>
    <row r="304" spans="1:4" ht="14.25" customHeight="1" x14ac:dyDescent="0.3">
      <c r="A304" s="3"/>
      <c r="B304" s="3"/>
      <c r="D304" s="2"/>
    </row>
    <row r="305" spans="1:4" ht="14.25" customHeight="1" x14ac:dyDescent="0.3">
      <c r="A305" s="3"/>
      <c r="B305" s="3"/>
      <c r="D305" s="2"/>
    </row>
    <row r="306" spans="1:4" ht="14.25" customHeight="1" x14ac:dyDescent="0.3">
      <c r="A306" s="3"/>
      <c r="B306" s="3"/>
      <c r="D306" s="2"/>
    </row>
    <row r="307" spans="1:4" ht="14.25" customHeight="1" x14ac:dyDescent="0.3">
      <c r="A307" s="3"/>
      <c r="B307" s="3"/>
      <c r="D307" s="2"/>
    </row>
    <row r="308" spans="1:4" ht="14.25" customHeight="1" x14ac:dyDescent="0.3">
      <c r="A308" s="3"/>
      <c r="B308" s="3"/>
      <c r="D308" s="2"/>
    </row>
    <row r="309" spans="1:4" ht="14.25" customHeight="1" x14ac:dyDescent="0.3">
      <c r="A309" s="3"/>
      <c r="B309" s="3"/>
      <c r="D309" s="2"/>
    </row>
    <row r="310" spans="1:4" ht="14.25" customHeight="1" x14ac:dyDescent="0.3">
      <c r="A310" s="3"/>
      <c r="B310" s="3"/>
      <c r="D310" s="2"/>
    </row>
    <row r="311" spans="1:4" ht="14.25" customHeight="1" x14ac:dyDescent="0.3">
      <c r="A311" s="3"/>
      <c r="B311" s="3"/>
      <c r="D311" s="2"/>
    </row>
    <row r="312" spans="1:4" ht="14.25" customHeight="1" x14ac:dyDescent="0.3">
      <c r="A312" s="3"/>
      <c r="B312" s="3"/>
      <c r="D312" s="2"/>
    </row>
    <row r="313" spans="1:4" ht="14.25" customHeight="1" x14ac:dyDescent="0.3">
      <c r="A313" s="3"/>
      <c r="B313" s="3"/>
      <c r="D313" s="2"/>
    </row>
    <row r="314" spans="1:4" ht="14.25" customHeight="1" x14ac:dyDescent="0.3">
      <c r="A314" s="3"/>
      <c r="B314" s="3"/>
      <c r="D314" s="2"/>
    </row>
    <row r="315" spans="1:4" ht="14.25" customHeight="1" x14ac:dyDescent="0.3">
      <c r="A315" s="3"/>
      <c r="B315" s="3"/>
      <c r="D315" s="2"/>
    </row>
    <row r="316" spans="1:4" ht="14.25" customHeight="1" x14ac:dyDescent="0.3">
      <c r="A316" s="3"/>
      <c r="B316" s="3"/>
      <c r="D316" s="2"/>
    </row>
    <row r="317" spans="1:4" ht="14.25" customHeight="1" x14ac:dyDescent="0.3">
      <c r="A317" s="3"/>
      <c r="B317" s="3"/>
      <c r="D317" s="2"/>
    </row>
    <row r="318" spans="1:4" ht="14.25" customHeight="1" x14ac:dyDescent="0.3">
      <c r="A318" s="3"/>
      <c r="B318" s="3"/>
      <c r="D318" s="2"/>
    </row>
    <row r="319" spans="1:4" ht="14.25" customHeight="1" x14ac:dyDescent="0.3">
      <c r="A319" s="3"/>
      <c r="B319" s="3"/>
      <c r="D319" s="2"/>
    </row>
    <row r="320" spans="1:4" ht="14.25" customHeight="1" x14ac:dyDescent="0.3">
      <c r="A320" s="3"/>
      <c r="B320" s="3"/>
      <c r="D320" s="2"/>
    </row>
    <row r="321" spans="1:4" ht="14.25" customHeight="1" x14ac:dyDescent="0.3">
      <c r="A321" s="3"/>
      <c r="B321" s="3"/>
      <c r="D321" s="2"/>
    </row>
    <row r="322" spans="1:4" ht="14.25" customHeight="1" x14ac:dyDescent="0.3">
      <c r="A322" s="3"/>
      <c r="B322" s="3"/>
      <c r="D322" s="2"/>
    </row>
    <row r="323" spans="1:4" ht="14.25" customHeight="1" x14ac:dyDescent="0.3">
      <c r="A323" s="3"/>
      <c r="B323" s="3"/>
      <c r="D323" s="2"/>
    </row>
    <row r="324" spans="1:4" ht="14.25" customHeight="1" x14ac:dyDescent="0.3">
      <c r="A324" s="3"/>
      <c r="B324" s="3"/>
      <c r="D324" s="2"/>
    </row>
    <row r="325" spans="1:4" ht="14.25" customHeight="1" x14ac:dyDescent="0.3">
      <c r="A325" s="3"/>
      <c r="B325" s="3"/>
      <c r="D325" s="2"/>
    </row>
    <row r="326" spans="1:4" ht="14.25" customHeight="1" x14ac:dyDescent="0.3">
      <c r="A326" s="3"/>
      <c r="B326" s="3"/>
      <c r="D326" s="2"/>
    </row>
    <row r="327" spans="1:4" ht="14.25" customHeight="1" x14ac:dyDescent="0.3">
      <c r="A327" s="3"/>
      <c r="B327" s="3"/>
      <c r="D327" s="2"/>
    </row>
    <row r="328" spans="1:4" ht="14.25" customHeight="1" x14ac:dyDescent="0.3">
      <c r="A328" s="3"/>
      <c r="B328" s="3"/>
      <c r="D328" s="2"/>
    </row>
    <row r="329" spans="1:4" ht="14.25" customHeight="1" x14ac:dyDescent="0.3">
      <c r="A329" s="3"/>
      <c r="B329" s="3"/>
      <c r="D329" s="2"/>
    </row>
    <row r="330" spans="1:4" ht="14.25" customHeight="1" x14ac:dyDescent="0.3">
      <c r="A330" s="3"/>
      <c r="B330" s="3"/>
      <c r="D330" s="2"/>
    </row>
    <row r="331" spans="1:4" ht="14.25" customHeight="1" x14ac:dyDescent="0.3">
      <c r="A331" s="3"/>
      <c r="B331" s="3"/>
      <c r="D331" s="2"/>
    </row>
    <row r="332" spans="1:4" ht="14.25" customHeight="1" x14ac:dyDescent="0.3">
      <c r="A332" s="3"/>
      <c r="B332" s="3"/>
      <c r="D332" s="2"/>
    </row>
    <row r="333" spans="1:4" ht="14.25" customHeight="1" x14ac:dyDescent="0.3">
      <c r="A333" s="3"/>
      <c r="B333" s="3"/>
      <c r="D333" s="2"/>
    </row>
    <row r="334" spans="1:4" ht="14.25" customHeight="1" x14ac:dyDescent="0.3">
      <c r="A334" s="3"/>
      <c r="B334" s="3"/>
      <c r="D334" s="2"/>
    </row>
    <row r="335" spans="1:4" ht="14.25" customHeight="1" x14ac:dyDescent="0.3">
      <c r="A335" s="3"/>
      <c r="B335" s="3"/>
      <c r="D335" s="2"/>
    </row>
    <row r="336" spans="1:4" ht="14.25" customHeight="1" x14ac:dyDescent="0.3">
      <c r="A336" s="3"/>
      <c r="B336" s="3"/>
      <c r="D336" s="2"/>
    </row>
    <row r="337" spans="1:4" ht="14.25" customHeight="1" x14ac:dyDescent="0.3">
      <c r="A337" s="3"/>
      <c r="B337" s="3"/>
      <c r="D337" s="2"/>
    </row>
    <row r="338" spans="1:4" ht="14.25" customHeight="1" x14ac:dyDescent="0.3">
      <c r="A338" s="3"/>
      <c r="B338" s="3"/>
      <c r="D338" s="2"/>
    </row>
    <row r="339" spans="1:4" ht="14.25" customHeight="1" x14ac:dyDescent="0.3">
      <c r="A339" s="3"/>
      <c r="B339" s="3"/>
      <c r="D339" s="2"/>
    </row>
    <row r="340" spans="1:4" ht="14.25" customHeight="1" x14ac:dyDescent="0.3">
      <c r="A340" s="3"/>
      <c r="B340" s="3"/>
      <c r="D340" s="2"/>
    </row>
    <row r="341" spans="1:4" ht="14.25" customHeight="1" x14ac:dyDescent="0.3">
      <c r="A341" s="3"/>
      <c r="B341" s="3"/>
      <c r="D341" s="2"/>
    </row>
    <row r="342" spans="1:4" ht="14.25" customHeight="1" x14ac:dyDescent="0.3">
      <c r="A342" s="3"/>
      <c r="B342" s="3"/>
      <c r="D342" s="2"/>
    </row>
    <row r="343" spans="1:4" ht="14.25" customHeight="1" x14ac:dyDescent="0.3">
      <c r="A343" s="3"/>
      <c r="B343" s="3"/>
      <c r="D343" s="2"/>
    </row>
    <row r="344" spans="1:4" ht="14.25" customHeight="1" x14ac:dyDescent="0.3">
      <c r="A344" s="3"/>
      <c r="B344" s="3"/>
      <c r="D344" s="2"/>
    </row>
    <row r="345" spans="1:4" ht="14.25" customHeight="1" x14ac:dyDescent="0.3">
      <c r="A345" s="3"/>
      <c r="B345" s="3"/>
      <c r="D345" s="2"/>
    </row>
    <row r="346" spans="1:4" ht="14.25" customHeight="1" x14ac:dyDescent="0.3">
      <c r="A346" s="3"/>
      <c r="B346" s="3"/>
      <c r="D346" s="2"/>
    </row>
    <row r="347" spans="1:4" ht="14.25" customHeight="1" x14ac:dyDescent="0.3">
      <c r="A347" s="3"/>
      <c r="B347" s="3"/>
      <c r="D347" s="2"/>
    </row>
    <row r="348" spans="1:4" ht="14.25" customHeight="1" x14ac:dyDescent="0.3">
      <c r="A348" s="3"/>
      <c r="B348" s="3"/>
      <c r="D348" s="2"/>
    </row>
    <row r="349" spans="1:4" ht="14.25" customHeight="1" x14ac:dyDescent="0.3">
      <c r="A349" s="3"/>
      <c r="B349" s="3"/>
      <c r="D349" s="2"/>
    </row>
    <row r="350" spans="1:4" ht="14.25" customHeight="1" x14ac:dyDescent="0.3">
      <c r="A350" s="3"/>
      <c r="B350" s="3"/>
      <c r="D350" s="2"/>
    </row>
    <row r="351" spans="1:4" ht="14.25" customHeight="1" x14ac:dyDescent="0.3">
      <c r="A351" s="3"/>
      <c r="B351" s="3"/>
      <c r="D351" s="2"/>
    </row>
    <row r="352" spans="1:4" ht="14.25" customHeight="1" x14ac:dyDescent="0.3">
      <c r="A352" s="3"/>
      <c r="B352" s="3"/>
      <c r="D352" s="2"/>
    </row>
    <row r="353" spans="1:4" ht="14.25" customHeight="1" x14ac:dyDescent="0.3">
      <c r="A353" s="3"/>
      <c r="B353" s="3"/>
      <c r="D353" s="2"/>
    </row>
    <row r="354" spans="1:4" ht="14.25" customHeight="1" x14ac:dyDescent="0.3">
      <c r="A354" s="3"/>
      <c r="B354" s="3"/>
      <c r="D354" s="2"/>
    </row>
    <row r="355" spans="1:4" ht="14.25" customHeight="1" x14ac:dyDescent="0.3">
      <c r="A355" s="3"/>
      <c r="B355" s="3"/>
      <c r="D355" s="2"/>
    </row>
    <row r="356" spans="1:4" ht="14.25" customHeight="1" x14ac:dyDescent="0.3">
      <c r="A356" s="3"/>
      <c r="B356" s="3"/>
      <c r="D356" s="2"/>
    </row>
    <row r="357" spans="1:4" ht="14.25" customHeight="1" x14ac:dyDescent="0.3">
      <c r="A357" s="3"/>
      <c r="B357" s="3"/>
      <c r="D357" s="2"/>
    </row>
    <row r="358" spans="1:4" ht="14.25" customHeight="1" x14ac:dyDescent="0.3">
      <c r="A358" s="3"/>
      <c r="B358" s="3"/>
      <c r="D358" s="2"/>
    </row>
    <row r="359" spans="1:4" ht="14.25" customHeight="1" x14ac:dyDescent="0.3">
      <c r="A359" s="3"/>
      <c r="B359" s="3"/>
      <c r="D359" s="2"/>
    </row>
    <row r="360" spans="1:4" ht="14.25" customHeight="1" x14ac:dyDescent="0.3">
      <c r="A360" s="3"/>
      <c r="B360" s="3"/>
      <c r="D360" s="2"/>
    </row>
    <row r="361" spans="1:4" ht="14.25" customHeight="1" x14ac:dyDescent="0.3">
      <c r="A361" s="3"/>
      <c r="B361" s="3"/>
      <c r="D361" s="2"/>
    </row>
    <row r="362" spans="1:4" ht="14.25" customHeight="1" x14ac:dyDescent="0.3">
      <c r="A362" s="3"/>
      <c r="B362" s="3"/>
      <c r="D362" s="2"/>
    </row>
    <row r="363" spans="1:4" ht="14.25" customHeight="1" x14ac:dyDescent="0.3">
      <c r="A363" s="3"/>
      <c r="B363" s="3"/>
      <c r="D363" s="2"/>
    </row>
    <row r="364" spans="1:4" ht="14.25" customHeight="1" x14ac:dyDescent="0.3">
      <c r="A364" s="3"/>
      <c r="B364" s="3"/>
      <c r="D364" s="2"/>
    </row>
    <row r="365" spans="1:4" ht="14.25" customHeight="1" x14ac:dyDescent="0.3">
      <c r="A365" s="3"/>
      <c r="B365" s="3"/>
      <c r="D365" s="2"/>
    </row>
    <row r="366" spans="1:4" ht="14.25" customHeight="1" x14ac:dyDescent="0.3">
      <c r="A366" s="3"/>
      <c r="B366" s="3"/>
      <c r="D366" s="2"/>
    </row>
    <row r="367" spans="1:4" ht="14.25" customHeight="1" x14ac:dyDescent="0.3">
      <c r="A367" s="3"/>
      <c r="B367" s="3"/>
      <c r="D367" s="2"/>
    </row>
    <row r="368" spans="1:4" ht="14.25" customHeight="1" x14ac:dyDescent="0.3">
      <c r="A368" s="3"/>
      <c r="B368" s="3"/>
      <c r="D368" s="2"/>
    </row>
    <row r="369" spans="1:4" ht="14.25" customHeight="1" x14ac:dyDescent="0.3">
      <c r="A369" s="3"/>
      <c r="B369" s="3"/>
      <c r="D369" s="2"/>
    </row>
    <row r="370" spans="1:4" ht="14.25" customHeight="1" x14ac:dyDescent="0.3">
      <c r="A370" s="3"/>
      <c r="B370" s="3"/>
      <c r="D370" s="2"/>
    </row>
    <row r="371" spans="1:4" ht="14.25" customHeight="1" x14ac:dyDescent="0.3">
      <c r="A371" s="3"/>
      <c r="B371" s="3"/>
      <c r="D371" s="2"/>
    </row>
    <row r="372" spans="1:4" ht="14.25" customHeight="1" x14ac:dyDescent="0.3">
      <c r="A372" s="3"/>
      <c r="B372" s="3"/>
      <c r="D372" s="2"/>
    </row>
    <row r="373" spans="1:4" ht="14.25" customHeight="1" x14ac:dyDescent="0.3">
      <c r="A373" s="3"/>
      <c r="B373" s="3"/>
      <c r="D373" s="2"/>
    </row>
    <row r="374" spans="1:4" ht="14.25" customHeight="1" x14ac:dyDescent="0.3">
      <c r="A374" s="3"/>
      <c r="B374" s="3"/>
      <c r="D374" s="2"/>
    </row>
    <row r="375" spans="1:4" ht="14.25" customHeight="1" x14ac:dyDescent="0.3">
      <c r="A375" s="3"/>
      <c r="B375" s="3"/>
      <c r="D375" s="2"/>
    </row>
    <row r="376" spans="1:4" ht="14.25" customHeight="1" x14ac:dyDescent="0.3">
      <c r="A376" s="3"/>
      <c r="B376" s="3"/>
      <c r="D376" s="2"/>
    </row>
    <row r="377" spans="1:4" ht="14.25" customHeight="1" x14ac:dyDescent="0.3">
      <c r="A377" s="3"/>
      <c r="B377" s="3"/>
      <c r="D377" s="2"/>
    </row>
    <row r="378" spans="1:4" ht="14.25" customHeight="1" x14ac:dyDescent="0.3">
      <c r="A378" s="3"/>
      <c r="B378" s="3"/>
      <c r="D378" s="2"/>
    </row>
    <row r="379" spans="1:4" ht="14.25" customHeight="1" x14ac:dyDescent="0.3">
      <c r="A379" s="3"/>
      <c r="B379" s="3"/>
      <c r="D379" s="2"/>
    </row>
    <row r="380" spans="1:4" ht="14.25" customHeight="1" x14ac:dyDescent="0.3">
      <c r="A380" s="3"/>
      <c r="B380" s="3"/>
      <c r="D380" s="2"/>
    </row>
    <row r="381" spans="1:4" ht="14.25" customHeight="1" x14ac:dyDescent="0.3">
      <c r="A381" s="3"/>
      <c r="B381" s="3"/>
      <c r="D381" s="2"/>
    </row>
    <row r="382" spans="1:4" ht="14.25" customHeight="1" x14ac:dyDescent="0.3">
      <c r="A382" s="3"/>
      <c r="B382" s="3"/>
      <c r="D382" s="2"/>
    </row>
    <row r="383" spans="1:4" ht="14.25" customHeight="1" x14ac:dyDescent="0.3">
      <c r="A383" s="3"/>
      <c r="B383" s="3"/>
      <c r="D383" s="2"/>
    </row>
    <row r="384" spans="1:4" ht="14.25" customHeight="1" x14ac:dyDescent="0.3">
      <c r="A384" s="3"/>
      <c r="B384" s="3"/>
      <c r="D384" s="2"/>
    </row>
    <row r="385" spans="1:4" ht="14.25" customHeight="1" x14ac:dyDescent="0.3">
      <c r="A385" s="3"/>
      <c r="B385" s="3"/>
      <c r="D385" s="2"/>
    </row>
    <row r="386" spans="1:4" ht="14.25" customHeight="1" x14ac:dyDescent="0.3">
      <c r="A386" s="3"/>
      <c r="B386" s="3"/>
      <c r="D386" s="2"/>
    </row>
    <row r="387" spans="1:4" ht="14.25" customHeight="1" x14ac:dyDescent="0.3">
      <c r="A387" s="3"/>
      <c r="B387" s="3"/>
      <c r="D387" s="2"/>
    </row>
    <row r="388" spans="1:4" ht="14.25" customHeight="1" x14ac:dyDescent="0.3">
      <c r="A388" s="3"/>
      <c r="B388" s="3"/>
      <c r="D388" s="2"/>
    </row>
    <row r="389" spans="1:4" ht="14.25" customHeight="1" x14ac:dyDescent="0.3">
      <c r="A389" s="3"/>
      <c r="B389" s="3"/>
      <c r="D389" s="2"/>
    </row>
    <row r="390" spans="1:4" ht="14.25" customHeight="1" x14ac:dyDescent="0.3">
      <c r="A390" s="3"/>
      <c r="B390" s="3"/>
      <c r="D390" s="2"/>
    </row>
    <row r="391" spans="1:4" ht="14.25" customHeight="1" x14ac:dyDescent="0.3">
      <c r="A391" s="3"/>
      <c r="B391" s="3"/>
      <c r="D391" s="2"/>
    </row>
    <row r="392" spans="1:4" ht="14.25" customHeight="1" x14ac:dyDescent="0.3">
      <c r="A392" s="3"/>
      <c r="B392" s="3"/>
      <c r="D392" s="2"/>
    </row>
    <row r="393" spans="1:4" ht="14.25" customHeight="1" x14ac:dyDescent="0.3">
      <c r="A393" s="3"/>
      <c r="B393" s="3"/>
      <c r="D393" s="2"/>
    </row>
    <row r="394" spans="1:4" ht="14.25" customHeight="1" x14ac:dyDescent="0.3">
      <c r="A394" s="3"/>
      <c r="B394" s="3"/>
      <c r="D394" s="2"/>
    </row>
    <row r="395" spans="1:4" ht="14.25" customHeight="1" x14ac:dyDescent="0.3">
      <c r="A395" s="3"/>
      <c r="B395" s="3"/>
      <c r="D395" s="2"/>
    </row>
    <row r="396" spans="1:4" ht="14.25" customHeight="1" x14ac:dyDescent="0.3">
      <c r="A396" s="3"/>
      <c r="B396" s="3"/>
      <c r="D396" s="2"/>
    </row>
    <row r="397" spans="1:4" ht="14.25" customHeight="1" x14ac:dyDescent="0.3">
      <c r="A397" s="3"/>
      <c r="B397" s="3"/>
      <c r="D397" s="2"/>
    </row>
    <row r="398" spans="1:4" ht="14.25" customHeight="1" x14ac:dyDescent="0.3">
      <c r="A398" s="3"/>
      <c r="B398" s="3"/>
      <c r="D398" s="2"/>
    </row>
    <row r="399" spans="1:4" ht="14.25" customHeight="1" x14ac:dyDescent="0.3">
      <c r="A399" s="3"/>
      <c r="B399" s="3"/>
      <c r="D399" s="2"/>
    </row>
    <row r="400" spans="1:4" ht="14.25" customHeight="1" x14ac:dyDescent="0.3">
      <c r="A400" s="3"/>
      <c r="B400" s="3"/>
      <c r="D400" s="2"/>
    </row>
    <row r="401" spans="1:4" ht="14.25" customHeight="1" x14ac:dyDescent="0.3">
      <c r="A401" s="3"/>
      <c r="B401" s="3"/>
      <c r="D401" s="2"/>
    </row>
    <row r="402" spans="1:4" ht="14.25" customHeight="1" x14ac:dyDescent="0.3">
      <c r="A402" s="3"/>
      <c r="B402" s="3"/>
      <c r="D402" s="2"/>
    </row>
    <row r="403" spans="1:4" ht="14.25" customHeight="1" x14ac:dyDescent="0.3">
      <c r="A403" s="3"/>
      <c r="B403" s="3"/>
      <c r="D403" s="2"/>
    </row>
    <row r="404" spans="1:4" ht="14.25" customHeight="1" x14ac:dyDescent="0.3">
      <c r="A404" s="3"/>
      <c r="B404" s="3"/>
      <c r="D404" s="2"/>
    </row>
    <row r="405" spans="1:4" ht="14.25" customHeight="1" x14ac:dyDescent="0.3">
      <c r="A405" s="3"/>
      <c r="B405" s="3"/>
      <c r="D405" s="2"/>
    </row>
    <row r="406" spans="1:4" ht="14.25" customHeight="1" x14ac:dyDescent="0.3">
      <c r="A406" s="3"/>
      <c r="B406" s="3"/>
      <c r="D406" s="2"/>
    </row>
    <row r="407" spans="1:4" ht="14.25" customHeight="1" x14ac:dyDescent="0.3">
      <c r="A407" s="3"/>
      <c r="B407" s="3"/>
      <c r="D407" s="2"/>
    </row>
    <row r="408" spans="1:4" ht="14.25" customHeight="1" x14ac:dyDescent="0.3">
      <c r="A408" s="3"/>
      <c r="B408" s="3"/>
      <c r="D408" s="2"/>
    </row>
    <row r="409" spans="1:4" ht="14.25" customHeight="1" x14ac:dyDescent="0.3">
      <c r="A409" s="3"/>
      <c r="B409" s="3"/>
      <c r="D409" s="2"/>
    </row>
    <row r="410" spans="1:4" ht="14.25" customHeight="1" x14ac:dyDescent="0.3">
      <c r="A410" s="3"/>
      <c r="B410" s="3"/>
      <c r="D410" s="2"/>
    </row>
    <row r="411" spans="1:4" ht="14.25" customHeight="1" x14ac:dyDescent="0.3">
      <c r="A411" s="3"/>
      <c r="B411" s="3"/>
      <c r="D411" s="2"/>
    </row>
    <row r="412" spans="1:4" ht="14.25" customHeight="1" x14ac:dyDescent="0.3">
      <c r="A412" s="3"/>
      <c r="B412" s="3"/>
      <c r="D412" s="2"/>
    </row>
    <row r="413" spans="1:4" ht="14.25" customHeight="1" x14ac:dyDescent="0.3">
      <c r="A413" s="3"/>
      <c r="B413" s="3"/>
      <c r="D413" s="2"/>
    </row>
    <row r="414" spans="1:4" ht="14.25" customHeight="1" x14ac:dyDescent="0.3">
      <c r="A414" s="3"/>
      <c r="B414" s="3"/>
      <c r="D414" s="2"/>
    </row>
    <row r="415" spans="1:4" ht="14.25" customHeight="1" x14ac:dyDescent="0.3">
      <c r="A415" s="3"/>
      <c r="B415" s="3"/>
      <c r="D415" s="2"/>
    </row>
    <row r="416" spans="1:4" ht="14.25" customHeight="1" x14ac:dyDescent="0.3">
      <c r="A416" s="3"/>
      <c r="B416" s="3"/>
      <c r="D416" s="2"/>
    </row>
    <row r="417" spans="1:4" ht="14.25" customHeight="1" x14ac:dyDescent="0.3">
      <c r="A417" s="3"/>
      <c r="B417" s="3"/>
      <c r="D417" s="2"/>
    </row>
    <row r="418" spans="1:4" ht="14.25" customHeight="1" x14ac:dyDescent="0.3">
      <c r="A418" s="3"/>
      <c r="B418" s="3"/>
      <c r="D418" s="2"/>
    </row>
    <row r="419" spans="1:4" ht="14.25" customHeight="1" x14ac:dyDescent="0.3">
      <c r="A419" s="3"/>
      <c r="B419" s="3"/>
      <c r="D419" s="2"/>
    </row>
    <row r="420" spans="1:4" ht="14.25" customHeight="1" x14ac:dyDescent="0.3">
      <c r="A420" s="3"/>
      <c r="B420" s="3"/>
      <c r="D420" s="2"/>
    </row>
    <row r="421" spans="1:4" ht="14.25" customHeight="1" x14ac:dyDescent="0.3">
      <c r="A421" s="3"/>
      <c r="B421" s="3"/>
      <c r="D421" s="2"/>
    </row>
    <row r="422" spans="1:4" ht="14.25" customHeight="1" x14ac:dyDescent="0.3">
      <c r="A422" s="3"/>
      <c r="B422" s="3"/>
      <c r="D422" s="2"/>
    </row>
    <row r="423" spans="1:4" ht="14.25" customHeight="1" x14ac:dyDescent="0.3">
      <c r="A423" s="3"/>
      <c r="B423" s="3"/>
      <c r="D423" s="2"/>
    </row>
    <row r="424" spans="1:4" ht="14.25" customHeight="1" x14ac:dyDescent="0.3">
      <c r="A424" s="3"/>
      <c r="B424" s="3"/>
      <c r="D424" s="2"/>
    </row>
    <row r="425" spans="1:4" ht="14.25" customHeight="1" x14ac:dyDescent="0.3">
      <c r="A425" s="3"/>
      <c r="B425" s="3"/>
      <c r="D425" s="2"/>
    </row>
    <row r="426" spans="1:4" ht="14.25" customHeight="1" x14ac:dyDescent="0.3">
      <c r="A426" s="3"/>
      <c r="B426" s="3"/>
      <c r="D426" s="2"/>
    </row>
    <row r="427" spans="1:4" ht="14.25" customHeight="1" x14ac:dyDescent="0.3">
      <c r="A427" s="3"/>
      <c r="B427" s="3"/>
      <c r="D427" s="2"/>
    </row>
    <row r="428" spans="1:4" ht="14.25" customHeight="1" x14ac:dyDescent="0.3">
      <c r="A428" s="3"/>
      <c r="B428" s="3"/>
      <c r="D428" s="2"/>
    </row>
    <row r="429" spans="1:4" ht="14.25" customHeight="1" x14ac:dyDescent="0.3">
      <c r="A429" s="3"/>
      <c r="B429" s="3"/>
      <c r="D429" s="2"/>
    </row>
    <row r="430" spans="1:4" ht="14.25" customHeight="1" x14ac:dyDescent="0.3">
      <c r="A430" s="3"/>
      <c r="B430" s="3"/>
      <c r="D430" s="2"/>
    </row>
    <row r="431" spans="1:4" ht="14.25" customHeight="1" x14ac:dyDescent="0.3">
      <c r="A431" s="3"/>
      <c r="B431" s="3"/>
      <c r="D431" s="2"/>
    </row>
    <row r="432" spans="1:4" ht="14.25" customHeight="1" x14ac:dyDescent="0.3">
      <c r="A432" s="3"/>
      <c r="B432" s="3"/>
      <c r="D432" s="2"/>
    </row>
    <row r="433" spans="1:4" ht="14.25" customHeight="1" x14ac:dyDescent="0.3">
      <c r="A433" s="3"/>
      <c r="B433" s="3"/>
      <c r="D433" s="2"/>
    </row>
    <row r="434" spans="1:4" ht="14.25" customHeight="1" x14ac:dyDescent="0.3">
      <c r="A434" s="3"/>
      <c r="B434" s="3"/>
      <c r="D434" s="2"/>
    </row>
    <row r="435" spans="1:4" ht="14.25" customHeight="1" x14ac:dyDescent="0.3">
      <c r="A435" s="3"/>
      <c r="B435" s="3"/>
      <c r="D435" s="2"/>
    </row>
    <row r="436" spans="1:4" ht="14.25" customHeight="1" x14ac:dyDescent="0.3">
      <c r="A436" s="3"/>
      <c r="B436" s="3"/>
      <c r="D436" s="2"/>
    </row>
    <row r="437" spans="1:4" ht="14.25" customHeight="1" x14ac:dyDescent="0.3">
      <c r="A437" s="3"/>
      <c r="B437" s="3"/>
      <c r="D437" s="2"/>
    </row>
    <row r="438" spans="1:4" ht="14.25" customHeight="1" x14ac:dyDescent="0.3">
      <c r="A438" s="3"/>
      <c r="B438" s="3"/>
      <c r="D438" s="2"/>
    </row>
    <row r="439" spans="1:4" ht="14.25" customHeight="1" x14ac:dyDescent="0.3">
      <c r="A439" s="3"/>
      <c r="B439" s="3"/>
      <c r="D439" s="2"/>
    </row>
    <row r="440" spans="1:4" ht="14.25" customHeight="1" x14ac:dyDescent="0.3">
      <c r="A440" s="3"/>
      <c r="B440" s="3"/>
      <c r="D440" s="2"/>
    </row>
    <row r="441" spans="1:4" ht="14.25" customHeight="1" x14ac:dyDescent="0.3">
      <c r="A441" s="3"/>
      <c r="B441" s="3"/>
      <c r="D441" s="2"/>
    </row>
    <row r="442" spans="1:4" ht="14.25" customHeight="1" x14ac:dyDescent="0.3">
      <c r="A442" s="3"/>
      <c r="B442" s="3"/>
      <c r="D442" s="2"/>
    </row>
    <row r="443" spans="1:4" ht="14.25" customHeight="1" x14ac:dyDescent="0.3">
      <c r="A443" s="3"/>
      <c r="B443" s="3"/>
      <c r="D443" s="2"/>
    </row>
    <row r="444" spans="1:4" ht="14.25" customHeight="1" x14ac:dyDescent="0.3">
      <c r="A444" s="3"/>
      <c r="B444" s="3"/>
      <c r="D444" s="2"/>
    </row>
    <row r="445" spans="1:4" ht="14.25" customHeight="1" x14ac:dyDescent="0.3">
      <c r="A445" s="3"/>
      <c r="B445" s="3"/>
      <c r="D445" s="2"/>
    </row>
    <row r="446" spans="1:4" ht="14.25" customHeight="1" x14ac:dyDescent="0.3">
      <c r="A446" s="3"/>
      <c r="B446" s="3"/>
      <c r="D446" s="2"/>
    </row>
    <row r="447" spans="1:4" ht="14.25" customHeight="1" x14ac:dyDescent="0.3">
      <c r="A447" s="3"/>
      <c r="B447" s="3"/>
      <c r="D447" s="2"/>
    </row>
    <row r="448" spans="1:4" ht="14.25" customHeight="1" x14ac:dyDescent="0.3">
      <c r="A448" s="3"/>
      <c r="B448" s="3"/>
      <c r="D448" s="2"/>
    </row>
    <row r="449" spans="1:4" ht="14.25" customHeight="1" x14ac:dyDescent="0.3">
      <c r="A449" s="3"/>
      <c r="B449" s="3"/>
      <c r="D449" s="2"/>
    </row>
    <row r="450" spans="1:4" ht="14.25" customHeight="1" x14ac:dyDescent="0.3">
      <c r="A450" s="3"/>
      <c r="B450" s="3"/>
      <c r="D450" s="2"/>
    </row>
    <row r="451" spans="1:4" ht="14.25" customHeight="1" x14ac:dyDescent="0.3">
      <c r="A451" s="3"/>
      <c r="B451" s="3"/>
      <c r="D451" s="2"/>
    </row>
    <row r="452" spans="1:4" ht="14.25" customHeight="1" x14ac:dyDescent="0.3">
      <c r="A452" s="3"/>
      <c r="B452" s="3"/>
      <c r="D452" s="2"/>
    </row>
    <row r="453" spans="1:4" ht="14.25" customHeight="1" x14ac:dyDescent="0.3">
      <c r="A453" s="3"/>
      <c r="B453" s="3"/>
      <c r="D453" s="2"/>
    </row>
    <row r="454" spans="1:4" ht="14.25" customHeight="1" x14ac:dyDescent="0.3">
      <c r="A454" s="3"/>
      <c r="B454" s="3"/>
      <c r="D454" s="2"/>
    </row>
    <row r="455" spans="1:4" ht="14.25" customHeight="1" x14ac:dyDescent="0.3">
      <c r="A455" s="3"/>
      <c r="B455" s="3"/>
      <c r="D455" s="2"/>
    </row>
    <row r="456" spans="1:4" ht="14.25" customHeight="1" x14ac:dyDescent="0.3">
      <c r="A456" s="3"/>
      <c r="B456" s="3"/>
      <c r="D456" s="2"/>
    </row>
    <row r="457" spans="1:4" ht="14.25" customHeight="1" x14ac:dyDescent="0.3">
      <c r="A457" s="3"/>
      <c r="B457" s="3"/>
      <c r="D457" s="2"/>
    </row>
    <row r="458" spans="1:4" ht="14.25" customHeight="1" x14ac:dyDescent="0.3">
      <c r="A458" s="3"/>
      <c r="B458" s="3"/>
      <c r="D458" s="2"/>
    </row>
    <row r="459" spans="1:4" ht="14.25" customHeight="1" x14ac:dyDescent="0.3">
      <c r="A459" s="3"/>
      <c r="B459" s="3"/>
      <c r="D459" s="2"/>
    </row>
    <row r="460" spans="1:4" ht="14.25" customHeight="1" x14ac:dyDescent="0.3">
      <c r="A460" s="3"/>
      <c r="B460" s="3"/>
      <c r="D460" s="2"/>
    </row>
    <row r="461" spans="1:4" ht="14.25" customHeight="1" x14ac:dyDescent="0.3">
      <c r="A461" s="3"/>
      <c r="B461" s="3"/>
      <c r="D461" s="2"/>
    </row>
    <row r="462" spans="1:4" ht="14.25" customHeight="1" x14ac:dyDescent="0.3">
      <c r="A462" s="3"/>
      <c r="B462" s="3"/>
      <c r="D462" s="2"/>
    </row>
    <row r="463" spans="1:4" ht="14.25" customHeight="1" x14ac:dyDescent="0.3">
      <c r="A463" s="3"/>
      <c r="B463" s="3"/>
      <c r="D463" s="2"/>
    </row>
    <row r="464" spans="1:4" ht="14.25" customHeight="1" x14ac:dyDescent="0.3">
      <c r="A464" s="3"/>
      <c r="B464" s="3"/>
      <c r="D464" s="2"/>
    </row>
    <row r="465" spans="1:4" ht="14.25" customHeight="1" x14ac:dyDescent="0.3">
      <c r="A465" s="3"/>
      <c r="B465" s="3"/>
      <c r="D465" s="2"/>
    </row>
    <row r="466" spans="1:4" ht="14.25" customHeight="1" x14ac:dyDescent="0.3">
      <c r="A466" s="3"/>
      <c r="B466" s="3"/>
      <c r="D466" s="2"/>
    </row>
    <row r="467" spans="1:4" ht="14.25" customHeight="1" x14ac:dyDescent="0.3">
      <c r="A467" s="3"/>
      <c r="B467" s="3"/>
      <c r="D467" s="2"/>
    </row>
    <row r="468" spans="1:4" ht="14.25" customHeight="1" x14ac:dyDescent="0.3">
      <c r="A468" s="3"/>
      <c r="B468" s="3"/>
      <c r="D468" s="2"/>
    </row>
    <row r="469" spans="1:4" ht="14.25" customHeight="1" x14ac:dyDescent="0.3">
      <c r="A469" s="3"/>
      <c r="B469" s="3"/>
      <c r="D469" s="2"/>
    </row>
    <row r="470" spans="1:4" ht="14.25" customHeight="1" x14ac:dyDescent="0.3">
      <c r="A470" s="3"/>
      <c r="B470" s="3"/>
      <c r="D470" s="2"/>
    </row>
    <row r="471" spans="1:4" ht="14.25" customHeight="1" x14ac:dyDescent="0.3">
      <c r="A471" s="3"/>
      <c r="B471" s="3"/>
      <c r="D471" s="2"/>
    </row>
    <row r="472" spans="1:4" ht="14.25" customHeight="1" x14ac:dyDescent="0.3">
      <c r="A472" s="3"/>
      <c r="B472" s="3"/>
      <c r="D472" s="2"/>
    </row>
    <row r="473" spans="1:4" ht="14.25" customHeight="1" x14ac:dyDescent="0.3">
      <c r="A473" s="3"/>
      <c r="B473" s="3"/>
      <c r="D473" s="2"/>
    </row>
    <row r="474" spans="1:4" ht="14.25" customHeight="1" x14ac:dyDescent="0.3">
      <c r="A474" s="3"/>
      <c r="B474" s="3"/>
      <c r="D474" s="2"/>
    </row>
    <row r="475" spans="1:4" ht="14.25" customHeight="1" x14ac:dyDescent="0.3">
      <c r="A475" s="3"/>
      <c r="B475" s="3"/>
      <c r="D475" s="2"/>
    </row>
    <row r="476" spans="1:4" ht="14.25" customHeight="1" x14ac:dyDescent="0.3">
      <c r="A476" s="3"/>
      <c r="B476" s="3"/>
      <c r="D476" s="2"/>
    </row>
    <row r="477" spans="1:4" ht="14.25" customHeight="1" x14ac:dyDescent="0.3">
      <c r="A477" s="3"/>
      <c r="B477" s="3"/>
      <c r="D477" s="2"/>
    </row>
    <row r="478" spans="1:4" ht="14.25" customHeight="1" x14ac:dyDescent="0.3">
      <c r="A478" s="3"/>
      <c r="B478" s="3"/>
      <c r="D478" s="2"/>
    </row>
    <row r="479" spans="1:4" ht="14.25" customHeight="1" x14ac:dyDescent="0.3">
      <c r="A479" s="3"/>
      <c r="B479" s="3"/>
      <c r="D479" s="2"/>
    </row>
    <row r="480" spans="1:4" ht="14.25" customHeight="1" x14ac:dyDescent="0.3">
      <c r="A480" s="3"/>
      <c r="B480" s="3"/>
      <c r="D480" s="2"/>
    </row>
    <row r="481" spans="1:4" ht="14.25" customHeight="1" x14ac:dyDescent="0.3">
      <c r="A481" s="3"/>
      <c r="B481" s="3"/>
      <c r="D481" s="2"/>
    </row>
    <row r="482" spans="1:4" ht="14.25" customHeight="1" x14ac:dyDescent="0.3">
      <c r="A482" s="3"/>
      <c r="B482" s="3"/>
      <c r="D482" s="2"/>
    </row>
    <row r="483" spans="1:4" ht="14.25" customHeight="1" x14ac:dyDescent="0.3">
      <c r="A483" s="3"/>
      <c r="B483" s="3"/>
      <c r="D483" s="2"/>
    </row>
    <row r="484" spans="1:4" ht="14.25" customHeight="1" x14ac:dyDescent="0.3">
      <c r="A484" s="3"/>
      <c r="B484" s="3"/>
      <c r="D484" s="2"/>
    </row>
    <row r="485" spans="1:4" ht="14.25" customHeight="1" x14ac:dyDescent="0.3">
      <c r="A485" s="3"/>
      <c r="B485" s="3"/>
      <c r="D485" s="2"/>
    </row>
    <row r="486" spans="1:4" ht="14.25" customHeight="1" x14ac:dyDescent="0.3">
      <c r="A486" s="3"/>
      <c r="B486" s="3"/>
      <c r="D486" s="2"/>
    </row>
    <row r="487" spans="1:4" ht="14.25" customHeight="1" x14ac:dyDescent="0.3">
      <c r="A487" s="3"/>
      <c r="B487" s="3"/>
      <c r="D487" s="2"/>
    </row>
    <row r="488" spans="1:4" ht="14.25" customHeight="1" x14ac:dyDescent="0.3">
      <c r="A488" s="3"/>
      <c r="B488" s="3"/>
      <c r="D488" s="2"/>
    </row>
    <row r="489" spans="1:4" ht="14.25" customHeight="1" x14ac:dyDescent="0.3">
      <c r="A489" s="3"/>
      <c r="B489" s="3"/>
      <c r="D489" s="2"/>
    </row>
    <row r="490" spans="1:4" ht="14.25" customHeight="1" x14ac:dyDescent="0.3">
      <c r="A490" s="3"/>
      <c r="B490" s="3"/>
      <c r="D490" s="2"/>
    </row>
    <row r="491" spans="1:4" ht="14.25" customHeight="1" x14ac:dyDescent="0.3">
      <c r="A491" s="3"/>
      <c r="B491" s="3"/>
      <c r="D491" s="2"/>
    </row>
    <row r="492" spans="1:4" ht="14.25" customHeight="1" x14ac:dyDescent="0.3">
      <c r="A492" s="3"/>
      <c r="B492" s="3"/>
      <c r="D492" s="2"/>
    </row>
    <row r="493" spans="1:4" ht="14.25" customHeight="1" x14ac:dyDescent="0.3">
      <c r="A493" s="3"/>
      <c r="B493" s="3"/>
      <c r="D493" s="2"/>
    </row>
    <row r="494" spans="1:4" ht="14.25" customHeight="1" x14ac:dyDescent="0.3">
      <c r="A494" s="3"/>
      <c r="B494" s="3"/>
      <c r="D494" s="2"/>
    </row>
    <row r="495" spans="1:4" ht="14.25" customHeight="1" x14ac:dyDescent="0.3">
      <c r="A495" s="3"/>
      <c r="B495" s="3"/>
      <c r="D495" s="2"/>
    </row>
    <row r="496" spans="1:4" ht="14.25" customHeight="1" x14ac:dyDescent="0.3">
      <c r="A496" s="3"/>
      <c r="B496" s="3"/>
      <c r="D496" s="2"/>
    </row>
    <row r="497" spans="1:4" ht="14.25" customHeight="1" x14ac:dyDescent="0.3">
      <c r="A497" s="3"/>
      <c r="B497" s="3"/>
      <c r="D497" s="2"/>
    </row>
    <row r="498" spans="1:4" ht="14.25" customHeight="1" x14ac:dyDescent="0.3">
      <c r="A498" s="3"/>
      <c r="B498" s="3"/>
      <c r="D498" s="2"/>
    </row>
    <row r="499" spans="1:4" ht="14.25" customHeight="1" x14ac:dyDescent="0.3">
      <c r="A499" s="3"/>
      <c r="B499" s="3"/>
      <c r="D499" s="2"/>
    </row>
    <row r="500" spans="1:4" ht="14.25" customHeight="1" x14ac:dyDescent="0.3">
      <c r="A500" s="3"/>
      <c r="B500" s="3"/>
      <c r="D500" s="2"/>
    </row>
    <row r="501" spans="1:4" ht="14.25" customHeight="1" x14ac:dyDescent="0.3">
      <c r="A501" s="3"/>
      <c r="B501" s="3"/>
      <c r="D501" s="2"/>
    </row>
    <row r="502" spans="1:4" ht="14.25" customHeight="1" x14ac:dyDescent="0.3">
      <c r="A502" s="3"/>
      <c r="B502" s="3"/>
      <c r="D502" s="2"/>
    </row>
    <row r="503" spans="1:4" ht="14.25" customHeight="1" x14ac:dyDescent="0.3">
      <c r="A503" s="3"/>
      <c r="B503" s="3"/>
      <c r="D503" s="2"/>
    </row>
    <row r="504" spans="1:4" ht="14.25" customHeight="1" x14ac:dyDescent="0.3">
      <c r="A504" s="3"/>
      <c r="B504" s="3"/>
      <c r="D504" s="2"/>
    </row>
    <row r="505" spans="1:4" ht="14.25" customHeight="1" x14ac:dyDescent="0.3">
      <c r="A505" s="3"/>
      <c r="B505" s="3"/>
      <c r="D505" s="2"/>
    </row>
    <row r="506" spans="1:4" ht="14.25" customHeight="1" x14ac:dyDescent="0.3">
      <c r="A506" s="3"/>
      <c r="B506" s="3"/>
      <c r="D506" s="2"/>
    </row>
    <row r="507" spans="1:4" ht="14.25" customHeight="1" x14ac:dyDescent="0.3">
      <c r="A507" s="3"/>
      <c r="B507" s="3"/>
      <c r="D507" s="2"/>
    </row>
    <row r="508" spans="1:4" ht="14.25" customHeight="1" x14ac:dyDescent="0.3">
      <c r="A508" s="3"/>
      <c r="B508" s="3"/>
      <c r="D508" s="2"/>
    </row>
    <row r="509" spans="1:4" ht="14.25" customHeight="1" x14ac:dyDescent="0.3">
      <c r="A509" s="3"/>
      <c r="B509" s="3"/>
      <c r="D509" s="2"/>
    </row>
    <row r="510" spans="1:4" ht="14.25" customHeight="1" x14ac:dyDescent="0.3">
      <c r="A510" s="3"/>
      <c r="B510" s="3"/>
      <c r="D510" s="2"/>
    </row>
    <row r="511" spans="1:4" ht="14.25" customHeight="1" x14ac:dyDescent="0.3">
      <c r="A511" s="3"/>
      <c r="B511" s="3"/>
      <c r="D511" s="2"/>
    </row>
    <row r="512" spans="1:4" ht="14.25" customHeight="1" x14ac:dyDescent="0.3">
      <c r="A512" s="3"/>
      <c r="B512" s="3"/>
      <c r="D512" s="2"/>
    </row>
    <row r="513" spans="1:4" ht="14.25" customHeight="1" x14ac:dyDescent="0.3">
      <c r="A513" s="3"/>
      <c r="B513" s="3"/>
      <c r="D513" s="2"/>
    </row>
    <row r="514" spans="1:4" ht="14.25" customHeight="1" x14ac:dyDescent="0.3">
      <c r="A514" s="3"/>
      <c r="B514" s="3"/>
      <c r="D514" s="2"/>
    </row>
    <row r="515" spans="1:4" ht="14.25" customHeight="1" x14ac:dyDescent="0.3">
      <c r="A515" s="3"/>
      <c r="B515" s="3"/>
      <c r="D515" s="2"/>
    </row>
    <row r="516" spans="1:4" ht="14.25" customHeight="1" x14ac:dyDescent="0.3">
      <c r="A516" s="3"/>
      <c r="B516" s="3"/>
      <c r="D516" s="2"/>
    </row>
    <row r="517" spans="1:4" ht="14.25" customHeight="1" x14ac:dyDescent="0.3">
      <c r="A517" s="3"/>
      <c r="B517" s="3"/>
      <c r="D517" s="2"/>
    </row>
    <row r="518" spans="1:4" ht="14.25" customHeight="1" x14ac:dyDescent="0.3">
      <c r="A518" s="3"/>
      <c r="B518" s="3"/>
      <c r="D518" s="2"/>
    </row>
    <row r="519" spans="1:4" ht="14.25" customHeight="1" x14ac:dyDescent="0.3">
      <c r="A519" s="3"/>
      <c r="B519" s="3"/>
      <c r="D519" s="2"/>
    </row>
    <row r="520" spans="1:4" ht="14.25" customHeight="1" x14ac:dyDescent="0.3">
      <c r="A520" s="3"/>
      <c r="B520" s="3"/>
      <c r="D520" s="2"/>
    </row>
    <row r="521" spans="1:4" ht="14.25" customHeight="1" x14ac:dyDescent="0.3">
      <c r="A521" s="3"/>
      <c r="B521" s="3"/>
      <c r="D521" s="2"/>
    </row>
    <row r="522" spans="1:4" ht="14.25" customHeight="1" x14ac:dyDescent="0.3">
      <c r="A522" s="3"/>
      <c r="B522" s="3"/>
      <c r="D522" s="2"/>
    </row>
    <row r="523" spans="1:4" ht="14.25" customHeight="1" x14ac:dyDescent="0.3">
      <c r="A523" s="3"/>
      <c r="B523" s="3"/>
      <c r="D523" s="2"/>
    </row>
    <row r="524" spans="1:4" ht="14.25" customHeight="1" x14ac:dyDescent="0.3">
      <c r="A524" s="3"/>
      <c r="B524" s="3"/>
      <c r="D524" s="2"/>
    </row>
    <row r="525" spans="1:4" ht="14.25" customHeight="1" x14ac:dyDescent="0.3">
      <c r="A525" s="3"/>
      <c r="B525" s="3"/>
      <c r="D525" s="2"/>
    </row>
    <row r="526" spans="1:4" ht="14.25" customHeight="1" x14ac:dyDescent="0.3">
      <c r="A526" s="3"/>
      <c r="B526" s="3"/>
      <c r="D526" s="2"/>
    </row>
    <row r="527" spans="1:4" ht="14.25" customHeight="1" x14ac:dyDescent="0.3">
      <c r="A527" s="3"/>
      <c r="B527" s="3"/>
      <c r="D527" s="2"/>
    </row>
    <row r="528" spans="1:4" ht="14.25" customHeight="1" x14ac:dyDescent="0.3">
      <c r="A528" s="3"/>
      <c r="B528" s="3"/>
      <c r="D528" s="2"/>
    </row>
    <row r="529" spans="1:4" ht="14.25" customHeight="1" x14ac:dyDescent="0.3">
      <c r="A529" s="3"/>
      <c r="B529" s="3"/>
      <c r="D529" s="2"/>
    </row>
    <row r="530" spans="1:4" ht="14.25" customHeight="1" x14ac:dyDescent="0.3">
      <c r="A530" s="3"/>
      <c r="B530" s="3"/>
      <c r="D530" s="2"/>
    </row>
    <row r="531" spans="1:4" ht="14.25" customHeight="1" x14ac:dyDescent="0.3">
      <c r="A531" s="3"/>
      <c r="B531" s="3"/>
      <c r="D531" s="2"/>
    </row>
    <row r="532" spans="1:4" ht="14.25" customHeight="1" x14ac:dyDescent="0.3">
      <c r="A532" s="3"/>
      <c r="B532" s="3"/>
      <c r="D532" s="2"/>
    </row>
    <row r="533" spans="1:4" ht="14.25" customHeight="1" x14ac:dyDescent="0.3">
      <c r="A533" s="3"/>
      <c r="B533" s="3"/>
      <c r="D533" s="2"/>
    </row>
    <row r="534" spans="1:4" ht="14.25" customHeight="1" x14ac:dyDescent="0.3">
      <c r="A534" s="3"/>
      <c r="B534" s="3"/>
      <c r="D534" s="2"/>
    </row>
    <row r="535" spans="1:4" ht="14.25" customHeight="1" x14ac:dyDescent="0.3">
      <c r="A535" s="3"/>
      <c r="B535" s="3"/>
      <c r="D535" s="2"/>
    </row>
    <row r="536" spans="1:4" ht="14.25" customHeight="1" x14ac:dyDescent="0.3">
      <c r="A536" s="3"/>
      <c r="B536" s="3"/>
      <c r="D536" s="2"/>
    </row>
    <row r="537" spans="1:4" ht="14.25" customHeight="1" x14ac:dyDescent="0.3">
      <c r="A537" s="3"/>
      <c r="B537" s="3"/>
      <c r="D537" s="2"/>
    </row>
    <row r="538" spans="1:4" ht="14.25" customHeight="1" x14ac:dyDescent="0.3">
      <c r="A538" s="3"/>
      <c r="B538" s="3"/>
      <c r="D538" s="2"/>
    </row>
    <row r="539" spans="1:4" ht="14.25" customHeight="1" x14ac:dyDescent="0.3">
      <c r="A539" s="3"/>
      <c r="B539" s="3"/>
      <c r="D539" s="2"/>
    </row>
    <row r="540" spans="1:4" ht="14.25" customHeight="1" x14ac:dyDescent="0.3">
      <c r="A540" s="3"/>
      <c r="B540" s="3"/>
      <c r="D540" s="2"/>
    </row>
    <row r="541" spans="1:4" ht="14.25" customHeight="1" x14ac:dyDescent="0.3">
      <c r="A541" s="3"/>
      <c r="B541" s="3"/>
      <c r="D541" s="2"/>
    </row>
    <row r="542" spans="1:4" ht="14.25" customHeight="1" x14ac:dyDescent="0.3">
      <c r="A542" s="3"/>
      <c r="B542" s="3"/>
      <c r="D542" s="2"/>
    </row>
    <row r="543" spans="1:4" ht="14.25" customHeight="1" x14ac:dyDescent="0.3">
      <c r="A543" s="3"/>
      <c r="B543" s="3"/>
      <c r="D543" s="2"/>
    </row>
    <row r="544" spans="1:4" ht="14.25" customHeight="1" x14ac:dyDescent="0.3">
      <c r="A544" s="3"/>
      <c r="B544" s="3"/>
      <c r="D544" s="2"/>
    </row>
    <row r="545" spans="1:4" ht="14.25" customHeight="1" x14ac:dyDescent="0.3">
      <c r="A545" s="3"/>
      <c r="B545" s="3"/>
      <c r="D545" s="2"/>
    </row>
    <row r="546" spans="1:4" ht="14.25" customHeight="1" x14ac:dyDescent="0.3">
      <c r="A546" s="3"/>
      <c r="B546" s="3"/>
      <c r="D546" s="2"/>
    </row>
    <row r="547" spans="1:4" ht="14.25" customHeight="1" x14ac:dyDescent="0.3">
      <c r="A547" s="3"/>
      <c r="B547" s="3"/>
      <c r="D547" s="2"/>
    </row>
    <row r="548" spans="1:4" ht="14.25" customHeight="1" x14ac:dyDescent="0.3">
      <c r="A548" s="3"/>
      <c r="B548" s="3"/>
      <c r="D548" s="2"/>
    </row>
    <row r="549" spans="1:4" ht="14.25" customHeight="1" x14ac:dyDescent="0.3">
      <c r="A549" s="3"/>
      <c r="B549" s="3"/>
      <c r="D549" s="2"/>
    </row>
    <row r="550" spans="1:4" ht="14.25" customHeight="1" x14ac:dyDescent="0.3">
      <c r="A550" s="3"/>
      <c r="B550" s="3"/>
      <c r="D550" s="2"/>
    </row>
    <row r="551" spans="1:4" ht="14.25" customHeight="1" x14ac:dyDescent="0.3">
      <c r="A551" s="3"/>
      <c r="B551" s="3"/>
      <c r="D551" s="2"/>
    </row>
    <row r="552" spans="1:4" ht="14.25" customHeight="1" x14ac:dyDescent="0.3">
      <c r="A552" s="3"/>
      <c r="B552" s="3"/>
      <c r="D552" s="2"/>
    </row>
    <row r="553" spans="1:4" ht="14.25" customHeight="1" x14ac:dyDescent="0.3">
      <c r="A553" s="3"/>
      <c r="B553" s="3"/>
      <c r="D553" s="2"/>
    </row>
    <row r="554" spans="1:4" ht="14.25" customHeight="1" x14ac:dyDescent="0.3">
      <c r="A554" s="3"/>
      <c r="B554" s="3"/>
      <c r="D554" s="2"/>
    </row>
    <row r="555" spans="1:4" ht="14.25" customHeight="1" x14ac:dyDescent="0.3">
      <c r="A555" s="3"/>
      <c r="B555" s="3"/>
      <c r="D555" s="2"/>
    </row>
    <row r="556" spans="1:4" ht="14.25" customHeight="1" x14ac:dyDescent="0.3">
      <c r="A556" s="3"/>
      <c r="B556" s="3"/>
      <c r="D556" s="2"/>
    </row>
    <row r="557" spans="1:4" ht="14.25" customHeight="1" x14ac:dyDescent="0.3">
      <c r="A557" s="3"/>
      <c r="B557" s="3"/>
      <c r="D557" s="2"/>
    </row>
    <row r="558" spans="1:4" ht="14.25" customHeight="1" x14ac:dyDescent="0.3">
      <c r="A558" s="3"/>
      <c r="B558" s="3"/>
      <c r="D558" s="2"/>
    </row>
    <row r="559" spans="1:4" ht="14.25" customHeight="1" x14ac:dyDescent="0.3">
      <c r="A559" s="3"/>
      <c r="B559" s="3"/>
      <c r="D559" s="2"/>
    </row>
    <row r="560" spans="1:4" ht="14.25" customHeight="1" x14ac:dyDescent="0.3">
      <c r="A560" s="3"/>
      <c r="B560" s="3"/>
      <c r="D560" s="2"/>
    </row>
    <row r="561" spans="1:4" ht="14.25" customHeight="1" x14ac:dyDescent="0.3">
      <c r="A561" s="3"/>
      <c r="B561" s="3"/>
      <c r="D561" s="2"/>
    </row>
    <row r="562" spans="1:4" ht="14.25" customHeight="1" x14ac:dyDescent="0.3">
      <c r="A562" s="3"/>
      <c r="B562" s="3"/>
      <c r="D562" s="2"/>
    </row>
    <row r="563" spans="1:4" ht="14.25" customHeight="1" x14ac:dyDescent="0.3">
      <c r="A563" s="3"/>
      <c r="B563" s="3"/>
      <c r="D563" s="2"/>
    </row>
    <row r="564" spans="1:4" ht="14.25" customHeight="1" x14ac:dyDescent="0.3">
      <c r="A564" s="3"/>
      <c r="B564" s="3"/>
      <c r="D564" s="2"/>
    </row>
    <row r="565" spans="1:4" ht="14.25" customHeight="1" x14ac:dyDescent="0.3">
      <c r="A565" s="3"/>
      <c r="B565" s="3"/>
      <c r="D565" s="2"/>
    </row>
    <row r="566" spans="1:4" ht="14.25" customHeight="1" x14ac:dyDescent="0.3">
      <c r="A566" s="3"/>
      <c r="B566" s="3"/>
      <c r="D566" s="2"/>
    </row>
    <row r="567" spans="1:4" ht="14.25" customHeight="1" x14ac:dyDescent="0.3">
      <c r="A567" s="3"/>
      <c r="B567" s="3"/>
      <c r="D567" s="2"/>
    </row>
    <row r="568" spans="1:4" ht="14.25" customHeight="1" x14ac:dyDescent="0.3">
      <c r="A568" s="3"/>
      <c r="B568" s="3"/>
      <c r="D568" s="2"/>
    </row>
    <row r="569" spans="1:4" ht="14.25" customHeight="1" x14ac:dyDescent="0.3">
      <c r="A569" s="3"/>
      <c r="B569" s="3"/>
      <c r="D569" s="2"/>
    </row>
    <row r="570" spans="1:4" ht="14.25" customHeight="1" x14ac:dyDescent="0.3">
      <c r="A570" s="3"/>
      <c r="B570" s="3"/>
      <c r="D570" s="2"/>
    </row>
    <row r="571" spans="1:4" ht="14.25" customHeight="1" x14ac:dyDescent="0.3">
      <c r="A571" s="3"/>
      <c r="B571" s="3"/>
      <c r="D571" s="2"/>
    </row>
    <row r="572" spans="1:4" ht="14.25" customHeight="1" x14ac:dyDescent="0.3">
      <c r="A572" s="3"/>
      <c r="B572" s="3"/>
      <c r="D572" s="2"/>
    </row>
    <row r="573" spans="1:4" ht="14.25" customHeight="1" x14ac:dyDescent="0.3">
      <c r="A573" s="3"/>
      <c r="B573" s="3"/>
      <c r="D573" s="2"/>
    </row>
    <row r="574" spans="1:4" ht="14.25" customHeight="1" x14ac:dyDescent="0.3">
      <c r="A574" s="3"/>
      <c r="B574" s="3"/>
      <c r="D574" s="2"/>
    </row>
    <row r="575" spans="1:4" ht="14.25" customHeight="1" x14ac:dyDescent="0.3">
      <c r="A575" s="3"/>
      <c r="B575" s="3"/>
      <c r="D575" s="2"/>
    </row>
    <row r="576" spans="1:4" ht="14.25" customHeight="1" x14ac:dyDescent="0.3">
      <c r="A576" s="3"/>
      <c r="B576" s="3"/>
      <c r="D576" s="2"/>
    </row>
    <row r="577" spans="1:4" ht="14.25" customHeight="1" x14ac:dyDescent="0.3">
      <c r="A577" s="3"/>
      <c r="B577" s="3"/>
      <c r="D577" s="2"/>
    </row>
    <row r="578" spans="1:4" ht="14.25" customHeight="1" x14ac:dyDescent="0.3">
      <c r="A578" s="3"/>
      <c r="B578" s="3"/>
      <c r="D578" s="2"/>
    </row>
    <row r="579" spans="1:4" ht="14.25" customHeight="1" x14ac:dyDescent="0.3">
      <c r="A579" s="3"/>
      <c r="B579" s="3"/>
      <c r="D579" s="2"/>
    </row>
    <row r="580" spans="1:4" ht="14.25" customHeight="1" x14ac:dyDescent="0.3">
      <c r="A580" s="3"/>
      <c r="B580" s="3"/>
      <c r="D580" s="2"/>
    </row>
    <row r="581" spans="1:4" ht="14.25" customHeight="1" x14ac:dyDescent="0.3">
      <c r="A581" s="3"/>
      <c r="B581" s="3"/>
      <c r="D581" s="2"/>
    </row>
    <row r="582" spans="1:4" ht="14.25" customHeight="1" x14ac:dyDescent="0.3">
      <c r="A582" s="3"/>
      <c r="B582" s="3"/>
      <c r="D582" s="2"/>
    </row>
    <row r="583" spans="1:4" ht="14.25" customHeight="1" x14ac:dyDescent="0.3">
      <c r="A583" s="3"/>
      <c r="B583" s="3"/>
      <c r="D583" s="2"/>
    </row>
    <row r="584" spans="1:4" ht="14.25" customHeight="1" x14ac:dyDescent="0.3">
      <c r="A584" s="3"/>
      <c r="B584" s="3"/>
      <c r="D584" s="2"/>
    </row>
    <row r="585" spans="1:4" ht="14.25" customHeight="1" x14ac:dyDescent="0.3">
      <c r="A585" s="3"/>
      <c r="B585" s="3"/>
      <c r="D585" s="2"/>
    </row>
    <row r="586" spans="1:4" ht="14.25" customHeight="1" x14ac:dyDescent="0.3">
      <c r="A586" s="3"/>
      <c r="B586" s="3"/>
      <c r="D586" s="2"/>
    </row>
    <row r="587" spans="1:4" ht="14.25" customHeight="1" x14ac:dyDescent="0.3">
      <c r="A587" s="3"/>
      <c r="B587" s="3"/>
      <c r="D587" s="2"/>
    </row>
    <row r="588" spans="1:4" ht="14.25" customHeight="1" x14ac:dyDescent="0.3">
      <c r="A588" s="3"/>
      <c r="B588" s="3"/>
      <c r="D588" s="2"/>
    </row>
    <row r="589" spans="1:4" ht="14.25" customHeight="1" x14ac:dyDescent="0.3">
      <c r="A589" s="3"/>
      <c r="B589" s="3"/>
      <c r="D589" s="2"/>
    </row>
    <row r="590" spans="1:4" ht="14.25" customHeight="1" x14ac:dyDescent="0.3">
      <c r="A590" s="3"/>
      <c r="B590" s="3"/>
      <c r="D590" s="2"/>
    </row>
    <row r="591" spans="1:4" ht="14.25" customHeight="1" x14ac:dyDescent="0.3">
      <c r="A591" s="3"/>
      <c r="B591" s="3"/>
      <c r="D591" s="2"/>
    </row>
    <row r="592" spans="1:4" ht="14.25" customHeight="1" x14ac:dyDescent="0.3">
      <c r="A592" s="3"/>
      <c r="B592" s="3"/>
      <c r="D592" s="2"/>
    </row>
    <row r="593" spans="1:4" ht="14.25" customHeight="1" x14ac:dyDescent="0.3">
      <c r="A593" s="3"/>
      <c r="B593" s="3"/>
      <c r="D593" s="2"/>
    </row>
    <row r="594" spans="1:4" ht="14.25" customHeight="1" x14ac:dyDescent="0.3">
      <c r="A594" s="3"/>
      <c r="B594" s="3"/>
      <c r="D594" s="2"/>
    </row>
    <row r="595" spans="1:4" ht="14.25" customHeight="1" x14ac:dyDescent="0.3">
      <c r="A595" s="3"/>
      <c r="B595" s="3"/>
      <c r="D595" s="2"/>
    </row>
    <row r="596" spans="1:4" ht="14.25" customHeight="1" x14ac:dyDescent="0.3">
      <c r="A596" s="3"/>
      <c r="B596" s="3"/>
      <c r="D596" s="2"/>
    </row>
    <row r="597" spans="1:4" ht="14.25" customHeight="1" x14ac:dyDescent="0.3">
      <c r="A597" s="3"/>
      <c r="B597" s="3"/>
      <c r="D597" s="2"/>
    </row>
    <row r="598" spans="1:4" ht="14.25" customHeight="1" x14ac:dyDescent="0.3">
      <c r="A598" s="3"/>
      <c r="B598" s="3"/>
      <c r="D598" s="2"/>
    </row>
    <row r="599" spans="1:4" ht="14.25" customHeight="1" x14ac:dyDescent="0.3">
      <c r="A599" s="3"/>
      <c r="B599" s="3"/>
      <c r="D599" s="2"/>
    </row>
    <row r="600" spans="1:4" ht="14.25" customHeight="1" x14ac:dyDescent="0.3">
      <c r="A600" s="3"/>
      <c r="B600" s="3"/>
      <c r="D600" s="2"/>
    </row>
    <row r="601" spans="1:4" ht="14.25" customHeight="1" x14ac:dyDescent="0.3">
      <c r="A601" s="3"/>
      <c r="B601" s="3"/>
      <c r="D601" s="2"/>
    </row>
    <row r="602" spans="1:4" ht="14.25" customHeight="1" x14ac:dyDescent="0.3">
      <c r="A602" s="3"/>
      <c r="B602" s="3"/>
      <c r="D602" s="2"/>
    </row>
    <row r="603" spans="1:4" ht="14.25" customHeight="1" x14ac:dyDescent="0.3">
      <c r="A603" s="3"/>
      <c r="B603" s="3"/>
      <c r="D603" s="2"/>
    </row>
    <row r="604" spans="1:4" ht="14.25" customHeight="1" x14ac:dyDescent="0.3">
      <c r="A604" s="3"/>
      <c r="B604" s="3"/>
      <c r="D604" s="2"/>
    </row>
    <row r="605" spans="1:4" ht="14.25" customHeight="1" x14ac:dyDescent="0.3">
      <c r="A605" s="3"/>
      <c r="B605" s="3"/>
      <c r="D605" s="2"/>
    </row>
    <row r="606" spans="1:4" ht="14.25" customHeight="1" x14ac:dyDescent="0.3">
      <c r="A606" s="3"/>
      <c r="B606" s="3"/>
      <c r="D606" s="2"/>
    </row>
    <row r="607" spans="1:4" ht="14.25" customHeight="1" x14ac:dyDescent="0.3">
      <c r="A607" s="3"/>
      <c r="B607" s="3"/>
      <c r="D607" s="2"/>
    </row>
    <row r="608" spans="1:4" ht="14.25" customHeight="1" x14ac:dyDescent="0.3">
      <c r="A608" s="3"/>
      <c r="B608" s="3"/>
      <c r="D608" s="2"/>
    </row>
    <row r="609" spans="1:4" ht="14.25" customHeight="1" x14ac:dyDescent="0.3">
      <c r="A609" s="3"/>
      <c r="B609" s="3"/>
      <c r="D609" s="2"/>
    </row>
    <row r="610" spans="1:4" ht="14.25" customHeight="1" x14ac:dyDescent="0.3">
      <c r="A610" s="3"/>
      <c r="B610" s="3"/>
      <c r="D610" s="2"/>
    </row>
    <row r="611" spans="1:4" ht="14.25" customHeight="1" x14ac:dyDescent="0.3">
      <c r="A611" s="3"/>
      <c r="B611" s="3"/>
      <c r="D611" s="2"/>
    </row>
    <row r="612" spans="1:4" ht="14.25" customHeight="1" x14ac:dyDescent="0.3">
      <c r="A612" s="3"/>
      <c r="B612" s="3"/>
      <c r="D612" s="2"/>
    </row>
    <row r="613" spans="1:4" ht="14.25" customHeight="1" x14ac:dyDescent="0.3">
      <c r="A613" s="3"/>
      <c r="B613" s="3"/>
      <c r="D613" s="2"/>
    </row>
    <row r="614" spans="1:4" ht="14.25" customHeight="1" x14ac:dyDescent="0.3">
      <c r="A614" s="3"/>
      <c r="B614" s="3"/>
      <c r="D614" s="2"/>
    </row>
    <row r="615" spans="1:4" ht="14.25" customHeight="1" x14ac:dyDescent="0.3">
      <c r="A615" s="3"/>
      <c r="B615" s="3"/>
      <c r="D615" s="2"/>
    </row>
    <row r="616" spans="1:4" ht="14.25" customHeight="1" x14ac:dyDescent="0.3">
      <c r="A616" s="3"/>
      <c r="B616" s="3"/>
      <c r="D616" s="2"/>
    </row>
    <row r="617" spans="1:4" ht="14.25" customHeight="1" x14ac:dyDescent="0.3">
      <c r="A617" s="3"/>
      <c r="B617" s="3"/>
      <c r="D617" s="2"/>
    </row>
    <row r="618" spans="1:4" ht="14.25" customHeight="1" x14ac:dyDescent="0.3">
      <c r="A618" s="3"/>
      <c r="B618" s="3"/>
      <c r="D618" s="2"/>
    </row>
    <row r="619" spans="1:4" ht="14.25" customHeight="1" x14ac:dyDescent="0.3">
      <c r="A619" s="3"/>
      <c r="B619" s="3"/>
      <c r="D619" s="2"/>
    </row>
    <row r="620" spans="1:4" ht="14.25" customHeight="1" x14ac:dyDescent="0.3">
      <c r="A620" s="3"/>
      <c r="B620" s="3"/>
      <c r="D620" s="2"/>
    </row>
    <row r="621" spans="1:4" ht="14.25" customHeight="1" x14ac:dyDescent="0.3">
      <c r="A621" s="3"/>
      <c r="B621" s="3"/>
      <c r="D621" s="2"/>
    </row>
    <row r="622" spans="1:4" ht="14.25" customHeight="1" x14ac:dyDescent="0.3">
      <c r="A622" s="3"/>
      <c r="B622" s="3"/>
      <c r="D622" s="2"/>
    </row>
    <row r="623" spans="1:4" ht="14.25" customHeight="1" x14ac:dyDescent="0.3">
      <c r="A623" s="3"/>
      <c r="B623" s="3"/>
      <c r="D623" s="2"/>
    </row>
    <row r="624" spans="1:4" ht="14.25" customHeight="1" x14ac:dyDescent="0.3">
      <c r="A624" s="3"/>
      <c r="B624" s="3"/>
      <c r="D624" s="2"/>
    </row>
    <row r="625" spans="1:4" ht="14.25" customHeight="1" x14ac:dyDescent="0.3">
      <c r="A625" s="3"/>
      <c r="B625" s="3"/>
      <c r="D625" s="2"/>
    </row>
    <row r="626" spans="1:4" ht="14.25" customHeight="1" x14ac:dyDescent="0.3">
      <c r="A626" s="3"/>
      <c r="B626" s="3"/>
      <c r="D626" s="2"/>
    </row>
    <row r="627" spans="1:4" ht="14.25" customHeight="1" x14ac:dyDescent="0.3">
      <c r="A627" s="3"/>
      <c r="B627" s="3"/>
      <c r="D627" s="2"/>
    </row>
    <row r="628" spans="1:4" ht="14.25" customHeight="1" x14ac:dyDescent="0.3">
      <c r="A628" s="3"/>
      <c r="B628" s="3"/>
      <c r="D628" s="2"/>
    </row>
    <row r="629" spans="1:4" ht="14.25" customHeight="1" x14ac:dyDescent="0.3">
      <c r="A629" s="3"/>
      <c r="B629" s="3"/>
      <c r="D629" s="2"/>
    </row>
    <row r="630" spans="1:4" ht="14.25" customHeight="1" x14ac:dyDescent="0.3">
      <c r="A630" s="3"/>
      <c r="B630" s="3"/>
      <c r="D630" s="2"/>
    </row>
    <row r="631" spans="1:4" ht="14.25" customHeight="1" x14ac:dyDescent="0.3">
      <c r="A631" s="3"/>
      <c r="B631" s="3"/>
      <c r="D631" s="2"/>
    </row>
    <row r="632" spans="1:4" ht="14.25" customHeight="1" x14ac:dyDescent="0.3">
      <c r="A632" s="3"/>
      <c r="B632" s="3"/>
      <c r="D632" s="2"/>
    </row>
    <row r="633" spans="1:4" ht="14.25" customHeight="1" x14ac:dyDescent="0.3">
      <c r="A633" s="3"/>
      <c r="B633" s="3"/>
      <c r="D633" s="2"/>
    </row>
    <row r="634" spans="1:4" ht="14.25" customHeight="1" x14ac:dyDescent="0.3">
      <c r="A634" s="3"/>
      <c r="B634" s="3"/>
      <c r="D634" s="2"/>
    </row>
    <row r="635" spans="1:4" ht="14.25" customHeight="1" x14ac:dyDescent="0.3">
      <c r="A635" s="3"/>
      <c r="B635" s="3"/>
      <c r="D635" s="2"/>
    </row>
    <row r="636" spans="1:4" ht="14.25" customHeight="1" x14ac:dyDescent="0.3">
      <c r="A636" s="3"/>
      <c r="B636" s="3"/>
      <c r="D636" s="2"/>
    </row>
    <row r="637" spans="1:4" ht="14.25" customHeight="1" x14ac:dyDescent="0.3">
      <c r="A637" s="3"/>
      <c r="B637" s="3"/>
      <c r="D637" s="2"/>
    </row>
    <row r="638" spans="1:4" ht="14.25" customHeight="1" x14ac:dyDescent="0.3">
      <c r="A638" s="3"/>
      <c r="B638" s="3"/>
      <c r="D638" s="2"/>
    </row>
    <row r="639" spans="1:4" ht="14.25" customHeight="1" x14ac:dyDescent="0.3">
      <c r="A639" s="3"/>
      <c r="B639" s="3"/>
      <c r="D639" s="2"/>
    </row>
    <row r="640" spans="1:4" ht="14.25" customHeight="1" x14ac:dyDescent="0.3">
      <c r="A640" s="3"/>
      <c r="B640" s="3"/>
      <c r="D640" s="2"/>
    </row>
    <row r="641" spans="1:4" ht="14.25" customHeight="1" x14ac:dyDescent="0.3">
      <c r="A641" s="3"/>
      <c r="B641" s="3"/>
      <c r="D641" s="2"/>
    </row>
    <row r="642" spans="1:4" ht="14.25" customHeight="1" x14ac:dyDescent="0.3">
      <c r="A642" s="3"/>
      <c r="B642" s="3"/>
      <c r="D642" s="2"/>
    </row>
    <row r="643" spans="1:4" ht="14.25" customHeight="1" x14ac:dyDescent="0.3">
      <c r="A643" s="3"/>
      <c r="B643" s="3"/>
      <c r="D643" s="2"/>
    </row>
    <row r="644" spans="1:4" ht="14.25" customHeight="1" x14ac:dyDescent="0.3">
      <c r="A644" s="3"/>
      <c r="B644" s="3"/>
      <c r="D644" s="2"/>
    </row>
    <row r="645" spans="1:4" ht="14.25" customHeight="1" x14ac:dyDescent="0.3">
      <c r="A645" s="3"/>
      <c r="B645" s="3"/>
      <c r="D645" s="2"/>
    </row>
    <row r="646" spans="1:4" ht="14.25" customHeight="1" x14ac:dyDescent="0.3">
      <c r="A646" s="3"/>
      <c r="B646" s="3"/>
      <c r="D646" s="2"/>
    </row>
    <row r="647" spans="1:4" ht="14.25" customHeight="1" x14ac:dyDescent="0.3">
      <c r="A647" s="3"/>
      <c r="B647" s="3"/>
      <c r="D647" s="2"/>
    </row>
    <row r="648" spans="1:4" ht="14.25" customHeight="1" x14ac:dyDescent="0.3">
      <c r="A648" s="3"/>
      <c r="B648" s="3"/>
      <c r="D648" s="2"/>
    </row>
    <row r="649" spans="1:4" ht="14.25" customHeight="1" x14ac:dyDescent="0.3">
      <c r="A649" s="3"/>
      <c r="B649" s="3"/>
      <c r="D649" s="2"/>
    </row>
    <row r="650" spans="1:4" ht="14.25" customHeight="1" x14ac:dyDescent="0.3">
      <c r="A650" s="3"/>
      <c r="B650" s="3"/>
      <c r="D650" s="2"/>
    </row>
    <row r="651" spans="1:4" ht="14.25" customHeight="1" x14ac:dyDescent="0.3">
      <c r="A651" s="3"/>
      <c r="B651" s="3"/>
      <c r="D651" s="2"/>
    </row>
    <row r="652" spans="1:4" ht="14.25" customHeight="1" x14ac:dyDescent="0.3">
      <c r="A652" s="3"/>
      <c r="B652" s="3"/>
      <c r="D652" s="2"/>
    </row>
    <row r="653" spans="1:4" ht="14.25" customHeight="1" x14ac:dyDescent="0.3">
      <c r="A653" s="3"/>
      <c r="B653" s="3"/>
      <c r="D653" s="2"/>
    </row>
    <row r="654" spans="1:4" ht="14.25" customHeight="1" x14ac:dyDescent="0.3">
      <c r="A654" s="3"/>
      <c r="B654" s="3"/>
      <c r="D654" s="2"/>
    </row>
    <row r="655" spans="1:4" ht="14.25" customHeight="1" x14ac:dyDescent="0.3">
      <c r="A655" s="3"/>
      <c r="B655" s="3"/>
      <c r="D655" s="2"/>
    </row>
    <row r="656" spans="1:4" ht="14.25" customHeight="1" x14ac:dyDescent="0.3">
      <c r="A656" s="3"/>
      <c r="B656" s="3"/>
      <c r="D656" s="2"/>
    </row>
    <row r="657" spans="1:4" ht="14.25" customHeight="1" x14ac:dyDescent="0.3">
      <c r="A657" s="3"/>
      <c r="B657" s="3"/>
      <c r="D657" s="2"/>
    </row>
    <row r="658" spans="1:4" ht="14.25" customHeight="1" x14ac:dyDescent="0.3">
      <c r="A658" s="3"/>
      <c r="B658" s="3"/>
      <c r="D658" s="2"/>
    </row>
    <row r="659" spans="1:4" ht="14.25" customHeight="1" x14ac:dyDescent="0.3">
      <c r="A659" s="3"/>
      <c r="B659" s="3"/>
      <c r="D659" s="2"/>
    </row>
    <row r="660" spans="1:4" ht="14.25" customHeight="1" x14ac:dyDescent="0.3">
      <c r="A660" s="3"/>
      <c r="B660" s="3"/>
      <c r="D660" s="2"/>
    </row>
    <row r="661" spans="1:4" ht="14.25" customHeight="1" x14ac:dyDescent="0.3">
      <c r="A661" s="3"/>
      <c r="B661" s="3"/>
      <c r="D661" s="2"/>
    </row>
    <row r="662" spans="1:4" ht="14.25" customHeight="1" x14ac:dyDescent="0.3">
      <c r="A662" s="3"/>
      <c r="B662" s="3"/>
      <c r="D662" s="2"/>
    </row>
    <row r="663" spans="1:4" ht="14.25" customHeight="1" x14ac:dyDescent="0.3">
      <c r="A663" s="3"/>
      <c r="B663" s="3"/>
      <c r="D663" s="2"/>
    </row>
    <row r="664" spans="1:4" ht="14.25" customHeight="1" x14ac:dyDescent="0.3">
      <c r="A664" s="3"/>
      <c r="B664" s="3"/>
      <c r="D664" s="2"/>
    </row>
    <row r="665" spans="1:4" ht="14.25" customHeight="1" x14ac:dyDescent="0.3">
      <c r="A665" s="3"/>
      <c r="B665" s="3"/>
      <c r="D665" s="2"/>
    </row>
    <row r="666" spans="1:4" ht="14.25" customHeight="1" x14ac:dyDescent="0.3">
      <c r="A666" s="3"/>
      <c r="B666" s="3"/>
      <c r="D666" s="2"/>
    </row>
    <row r="667" spans="1:4" ht="14.25" customHeight="1" x14ac:dyDescent="0.3">
      <c r="A667" s="3"/>
      <c r="B667" s="3"/>
      <c r="D667" s="2"/>
    </row>
    <row r="668" spans="1:4" ht="14.25" customHeight="1" x14ac:dyDescent="0.3">
      <c r="A668" s="3"/>
      <c r="B668" s="3"/>
      <c r="D668" s="2"/>
    </row>
    <row r="669" spans="1:4" ht="14.25" customHeight="1" x14ac:dyDescent="0.3">
      <c r="A669" s="3"/>
      <c r="B669" s="3"/>
      <c r="D669" s="2"/>
    </row>
    <row r="670" spans="1:4" ht="14.25" customHeight="1" x14ac:dyDescent="0.3">
      <c r="A670" s="3"/>
      <c r="B670" s="3"/>
      <c r="D670" s="2"/>
    </row>
    <row r="671" spans="1:4" ht="14.25" customHeight="1" x14ac:dyDescent="0.3">
      <c r="A671" s="3"/>
      <c r="B671" s="3"/>
      <c r="D671" s="2"/>
    </row>
    <row r="672" spans="1:4" ht="14.25" customHeight="1" x14ac:dyDescent="0.3">
      <c r="A672" s="3"/>
      <c r="B672" s="3"/>
      <c r="D672" s="2"/>
    </row>
    <row r="673" spans="1:4" ht="14.25" customHeight="1" x14ac:dyDescent="0.3">
      <c r="A673" s="3"/>
      <c r="B673" s="3"/>
      <c r="D673" s="2"/>
    </row>
    <row r="674" spans="1:4" ht="14.25" customHeight="1" x14ac:dyDescent="0.3">
      <c r="A674" s="3"/>
      <c r="B674" s="3"/>
      <c r="D674" s="2"/>
    </row>
    <row r="675" spans="1:4" ht="14.25" customHeight="1" x14ac:dyDescent="0.3">
      <c r="A675" s="3"/>
      <c r="B675" s="3"/>
      <c r="D675" s="2"/>
    </row>
    <row r="676" spans="1:4" ht="14.25" customHeight="1" x14ac:dyDescent="0.3">
      <c r="A676" s="3"/>
      <c r="B676" s="3"/>
      <c r="D676" s="2"/>
    </row>
    <row r="677" spans="1:4" ht="14.25" customHeight="1" x14ac:dyDescent="0.3">
      <c r="A677" s="3"/>
      <c r="B677" s="3"/>
      <c r="D677" s="2"/>
    </row>
    <row r="678" spans="1:4" ht="14.25" customHeight="1" x14ac:dyDescent="0.3">
      <c r="A678" s="3"/>
      <c r="B678" s="3"/>
      <c r="D678" s="2"/>
    </row>
    <row r="679" spans="1:4" ht="14.25" customHeight="1" x14ac:dyDescent="0.3">
      <c r="A679" s="3"/>
      <c r="B679" s="3"/>
      <c r="D679" s="2"/>
    </row>
    <row r="680" spans="1:4" ht="14.25" customHeight="1" x14ac:dyDescent="0.3">
      <c r="A680" s="3"/>
      <c r="B680" s="3"/>
      <c r="D680" s="2"/>
    </row>
    <row r="681" spans="1:4" ht="14.25" customHeight="1" x14ac:dyDescent="0.3">
      <c r="A681" s="3"/>
      <c r="B681" s="3"/>
      <c r="D681" s="2"/>
    </row>
    <row r="682" spans="1:4" ht="14.25" customHeight="1" x14ac:dyDescent="0.3">
      <c r="A682" s="3"/>
      <c r="B682" s="3"/>
      <c r="D682" s="2"/>
    </row>
    <row r="683" spans="1:4" ht="14.25" customHeight="1" x14ac:dyDescent="0.3">
      <c r="A683" s="3"/>
      <c r="B683" s="3"/>
      <c r="D683" s="2"/>
    </row>
    <row r="684" spans="1:4" ht="14.25" customHeight="1" x14ac:dyDescent="0.3">
      <c r="A684" s="3"/>
      <c r="B684" s="3"/>
      <c r="D684" s="2"/>
    </row>
    <row r="685" spans="1:4" ht="14.25" customHeight="1" x14ac:dyDescent="0.3">
      <c r="A685" s="3"/>
      <c r="B685" s="3"/>
      <c r="D685" s="2"/>
    </row>
    <row r="686" spans="1:4" ht="14.25" customHeight="1" x14ac:dyDescent="0.3">
      <c r="A686" s="3"/>
      <c r="B686" s="3"/>
      <c r="D686" s="2"/>
    </row>
    <row r="687" spans="1:4" ht="14.25" customHeight="1" x14ac:dyDescent="0.3">
      <c r="A687" s="3"/>
      <c r="B687" s="3"/>
      <c r="D687" s="2"/>
    </row>
    <row r="688" spans="1:4" ht="14.25" customHeight="1" x14ac:dyDescent="0.3">
      <c r="A688" s="3"/>
      <c r="B688" s="3"/>
      <c r="D688" s="2"/>
    </row>
    <row r="689" spans="1:4" ht="14.25" customHeight="1" x14ac:dyDescent="0.3">
      <c r="A689" s="3"/>
      <c r="B689" s="3"/>
      <c r="D689" s="2"/>
    </row>
    <row r="690" spans="1:4" ht="14.25" customHeight="1" x14ac:dyDescent="0.3">
      <c r="A690" s="3"/>
      <c r="B690" s="3"/>
      <c r="D690" s="2"/>
    </row>
    <row r="691" spans="1:4" ht="14.25" customHeight="1" x14ac:dyDescent="0.3">
      <c r="A691" s="3"/>
      <c r="B691" s="3"/>
      <c r="D691" s="2"/>
    </row>
    <row r="692" spans="1:4" ht="14.25" customHeight="1" x14ac:dyDescent="0.3">
      <c r="A692" s="3"/>
      <c r="B692" s="3"/>
      <c r="D692" s="2"/>
    </row>
    <row r="693" spans="1:4" ht="14.25" customHeight="1" x14ac:dyDescent="0.3">
      <c r="A693" s="3"/>
      <c r="B693" s="3"/>
      <c r="D693" s="2"/>
    </row>
    <row r="694" spans="1:4" ht="14.25" customHeight="1" x14ac:dyDescent="0.3">
      <c r="A694" s="3"/>
      <c r="B694" s="3"/>
      <c r="D694" s="2"/>
    </row>
    <row r="695" spans="1:4" ht="14.25" customHeight="1" x14ac:dyDescent="0.3">
      <c r="A695" s="3"/>
      <c r="B695" s="3"/>
      <c r="D695" s="2"/>
    </row>
    <row r="696" spans="1:4" ht="14.25" customHeight="1" x14ac:dyDescent="0.3">
      <c r="A696" s="3"/>
      <c r="B696" s="3"/>
      <c r="D696" s="2"/>
    </row>
    <row r="697" spans="1:4" ht="14.25" customHeight="1" x14ac:dyDescent="0.3">
      <c r="A697" s="3"/>
      <c r="B697" s="3"/>
      <c r="D697" s="2"/>
    </row>
    <row r="698" spans="1:4" ht="14.25" customHeight="1" x14ac:dyDescent="0.3">
      <c r="A698" s="3"/>
      <c r="B698" s="3"/>
      <c r="D698" s="2"/>
    </row>
    <row r="699" spans="1:4" ht="14.25" customHeight="1" x14ac:dyDescent="0.3">
      <c r="A699" s="3"/>
      <c r="B699" s="3"/>
      <c r="D699" s="2"/>
    </row>
    <row r="700" spans="1:4" ht="14.25" customHeight="1" x14ac:dyDescent="0.3">
      <c r="A700" s="3"/>
      <c r="B700" s="3"/>
      <c r="D700" s="2"/>
    </row>
    <row r="701" spans="1:4" ht="14.25" customHeight="1" x14ac:dyDescent="0.3">
      <c r="A701" s="3"/>
      <c r="B701" s="3"/>
      <c r="D701" s="2"/>
    </row>
    <row r="702" spans="1:4" ht="14.25" customHeight="1" x14ac:dyDescent="0.3">
      <c r="A702" s="3"/>
      <c r="B702" s="3"/>
      <c r="D702" s="2"/>
    </row>
    <row r="703" spans="1:4" ht="14.25" customHeight="1" x14ac:dyDescent="0.3">
      <c r="A703" s="3"/>
      <c r="B703" s="3"/>
      <c r="D703" s="2"/>
    </row>
    <row r="704" spans="1:4" ht="14.25" customHeight="1" x14ac:dyDescent="0.3">
      <c r="A704" s="3"/>
      <c r="B704" s="3"/>
      <c r="D704" s="2"/>
    </row>
    <row r="705" spans="1:4" ht="14.25" customHeight="1" x14ac:dyDescent="0.3">
      <c r="A705" s="3"/>
      <c r="B705" s="3"/>
      <c r="D705" s="2"/>
    </row>
    <row r="706" spans="1:4" ht="14.25" customHeight="1" x14ac:dyDescent="0.3">
      <c r="A706" s="3"/>
      <c r="B706" s="3"/>
      <c r="D706" s="2"/>
    </row>
    <row r="707" spans="1:4" ht="14.25" customHeight="1" x14ac:dyDescent="0.3">
      <c r="A707" s="3"/>
      <c r="B707" s="3"/>
      <c r="D707" s="2"/>
    </row>
    <row r="708" spans="1:4" ht="14.25" customHeight="1" x14ac:dyDescent="0.3">
      <c r="A708" s="3"/>
      <c r="B708" s="3"/>
      <c r="D708" s="2"/>
    </row>
    <row r="709" spans="1:4" ht="14.25" customHeight="1" x14ac:dyDescent="0.3">
      <c r="A709" s="3"/>
      <c r="B709" s="3"/>
      <c r="D709" s="2"/>
    </row>
    <row r="710" spans="1:4" ht="14.25" customHeight="1" x14ac:dyDescent="0.3">
      <c r="A710" s="3"/>
      <c r="B710" s="3"/>
      <c r="D710" s="2"/>
    </row>
    <row r="711" spans="1:4" ht="14.25" customHeight="1" x14ac:dyDescent="0.3">
      <c r="A711" s="3"/>
      <c r="B711" s="3"/>
      <c r="D711" s="2"/>
    </row>
    <row r="712" spans="1:4" ht="14.25" customHeight="1" x14ac:dyDescent="0.3">
      <c r="A712" s="3"/>
      <c r="B712" s="3"/>
      <c r="D712" s="2"/>
    </row>
    <row r="713" spans="1:4" ht="14.25" customHeight="1" x14ac:dyDescent="0.3">
      <c r="A713" s="3"/>
      <c r="B713" s="3"/>
      <c r="D713" s="2"/>
    </row>
    <row r="714" spans="1:4" ht="14.25" customHeight="1" x14ac:dyDescent="0.3">
      <c r="A714" s="3"/>
      <c r="B714" s="3"/>
      <c r="D714" s="2"/>
    </row>
    <row r="715" spans="1:4" ht="14.25" customHeight="1" x14ac:dyDescent="0.3">
      <c r="A715" s="3"/>
      <c r="B715" s="3"/>
      <c r="D715" s="2"/>
    </row>
    <row r="716" spans="1:4" ht="14.25" customHeight="1" x14ac:dyDescent="0.3">
      <c r="A716" s="3"/>
      <c r="B716" s="3"/>
      <c r="D716" s="2"/>
    </row>
    <row r="717" spans="1:4" ht="14.25" customHeight="1" x14ac:dyDescent="0.3">
      <c r="A717" s="3"/>
      <c r="B717" s="3"/>
      <c r="D717" s="2"/>
    </row>
    <row r="718" spans="1:4" ht="14.25" customHeight="1" x14ac:dyDescent="0.3">
      <c r="A718" s="3"/>
      <c r="B718" s="3"/>
      <c r="D718" s="2"/>
    </row>
    <row r="719" spans="1:4" ht="14.25" customHeight="1" x14ac:dyDescent="0.3">
      <c r="A719" s="3"/>
      <c r="B719" s="3"/>
      <c r="D719" s="2"/>
    </row>
    <row r="720" spans="1:4" ht="14.25" customHeight="1" x14ac:dyDescent="0.3">
      <c r="A720" s="3"/>
      <c r="B720" s="3"/>
      <c r="D720" s="2"/>
    </row>
    <row r="721" spans="1:4" ht="14.25" customHeight="1" x14ac:dyDescent="0.3">
      <c r="A721" s="3"/>
      <c r="B721" s="3"/>
      <c r="D721" s="2"/>
    </row>
    <row r="722" spans="1:4" ht="14.25" customHeight="1" x14ac:dyDescent="0.3">
      <c r="A722" s="3"/>
      <c r="B722" s="3"/>
      <c r="D722" s="2"/>
    </row>
    <row r="723" spans="1:4" ht="14.25" customHeight="1" x14ac:dyDescent="0.3">
      <c r="A723" s="3"/>
      <c r="B723" s="3"/>
      <c r="D723" s="2"/>
    </row>
    <row r="724" spans="1:4" ht="14.25" customHeight="1" x14ac:dyDescent="0.3">
      <c r="A724" s="3"/>
      <c r="B724" s="3"/>
      <c r="D724" s="2"/>
    </row>
    <row r="725" spans="1:4" ht="14.25" customHeight="1" x14ac:dyDescent="0.3">
      <c r="A725" s="3"/>
      <c r="B725" s="3"/>
      <c r="D725" s="2"/>
    </row>
    <row r="726" spans="1:4" ht="14.25" customHeight="1" x14ac:dyDescent="0.3">
      <c r="A726" s="3"/>
      <c r="B726" s="3"/>
      <c r="D726" s="2"/>
    </row>
    <row r="727" spans="1:4" ht="14.25" customHeight="1" x14ac:dyDescent="0.3">
      <c r="A727" s="3"/>
      <c r="B727" s="3"/>
      <c r="D727" s="2"/>
    </row>
    <row r="728" spans="1:4" ht="14.25" customHeight="1" x14ac:dyDescent="0.3">
      <c r="A728" s="3"/>
      <c r="B728" s="3"/>
      <c r="D728" s="2"/>
    </row>
    <row r="729" spans="1:4" ht="14.25" customHeight="1" x14ac:dyDescent="0.3">
      <c r="A729" s="3"/>
      <c r="B729" s="3"/>
      <c r="D729" s="2"/>
    </row>
    <row r="730" spans="1:4" ht="14.25" customHeight="1" x14ac:dyDescent="0.3">
      <c r="A730" s="3"/>
      <c r="B730" s="3"/>
      <c r="D730" s="2"/>
    </row>
    <row r="731" spans="1:4" ht="14.25" customHeight="1" x14ac:dyDescent="0.3">
      <c r="A731" s="3"/>
      <c r="B731" s="3"/>
      <c r="D731" s="2"/>
    </row>
    <row r="732" spans="1:4" ht="14.25" customHeight="1" x14ac:dyDescent="0.3">
      <c r="A732" s="3"/>
      <c r="B732" s="3"/>
      <c r="D732" s="2"/>
    </row>
    <row r="733" spans="1:4" ht="14.25" customHeight="1" x14ac:dyDescent="0.3">
      <c r="A733" s="3"/>
      <c r="B733" s="3"/>
      <c r="D733" s="2"/>
    </row>
    <row r="734" spans="1:4" ht="14.25" customHeight="1" x14ac:dyDescent="0.3">
      <c r="A734" s="3"/>
      <c r="B734" s="3"/>
      <c r="D734" s="2"/>
    </row>
    <row r="735" spans="1:4" ht="14.25" customHeight="1" x14ac:dyDescent="0.3">
      <c r="A735" s="3"/>
      <c r="B735" s="3"/>
      <c r="D735" s="2"/>
    </row>
    <row r="736" spans="1:4" ht="14.25" customHeight="1" x14ac:dyDescent="0.3">
      <c r="A736" s="3"/>
      <c r="B736" s="3"/>
      <c r="D736" s="2"/>
    </row>
    <row r="737" spans="1:4" ht="14.25" customHeight="1" x14ac:dyDescent="0.3">
      <c r="A737" s="3"/>
      <c r="B737" s="3"/>
      <c r="D737" s="2"/>
    </row>
    <row r="738" spans="1:4" ht="14.25" customHeight="1" x14ac:dyDescent="0.3">
      <c r="A738" s="3"/>
      <c r="B738" s="3"/>
      <c r="D738" s="2"/>
    </row>
    <row r="739" spans="1:4" ht="14.25" customHeight="1" x14ac:dyDescent="0.3">
      <c r="A739" s="3"/>
      <c r="B739" s="3"/>
      <c r="D739" s="2"/>
    </row>
    <row r="740" spans="1:4" ht="14.25" customHeight="1" x14ac:dyDescent="0.3">
      <c r="A740" s="3"/>
      <c r="B740" s="3"/>
      <c r="D740" s="2"/>
    </row>
    <row r="741" spans="1:4" ht="14.25" customHeight="1" x14ac:dyDescent="0.3">
      <c r="A741" s="3"/>
      <c r="B741" s="3"/>
      <c r="D741" s="2"/>
    </row>
    <row r="742" spans="1:4" ht="14.25" customHeight="1" x14ac:dyDescent="0.3">
      <c r="A742" s="3"/>
      <c r="B742" s="3"/>
      <c r="D742" s="2"/>
    </row>
    <row r="743" spans="1:4" ht="14.25" customHeight="1" x14ac:dyDescent="0.3">
      <c r="A743" s="3"/>
      <c r="B743" s="3"/>
      <c r="D743" s="2"/>
    </row>
    <row r="744" spans="1:4" ht="14.25" customHeight="1" x14ac:dyDescent="0.3">
      <c r="A744" s="3"/>
      <c r="B744" s="3"/>
      <c r="D744" s="2"/>
    </row>
    <row r="745" spans="1:4" ht="14.25" customHeight="1" x14ac:dyDescent="0.3">
      <c r="A745" s="3"/>
      <c r="B745" s="3"/>
      <c r="D745" s="2"/>
    </row>
    <row r="746" spans="1:4" ht="14.25" customHeight="1" x14ac:dyDescent="0.3">
      <c r="A746" s="3"/>
      <c r="B746" s="3"/>
      <c r="D746" s="2"/>
    </row>
    <row r="747" spans="1:4" ht="14.25" customHeight="1" x14ac:dyDescent="0.3">
      <c r="A747" s="3"/>
      <c r="B747" s="3"/>
      <c r="D747" s="2"/>
    </row>
    <row r="748" spans="1:4" ht="14.25" customHeight="1" x14ac:dyDescent="0.3">
      <c r="A748" s="3"/>
      <c r="B748" s="3"/>
      <c r="D748" s="2"/>
    </row>
    <row r="749" spans="1:4" ht="14.25" customHeight="1" x14ac:dyDescent="0.3">
      <c r="A749" s="3"/>
      <c r="B749" s="3"/>
      <c r="D749" s="2"/>
    </row>
    <row r="750" spans="1:4" ht="14.25" customHeight="1" x14ac:dyDescent="0.3">
      <c r="A750" s="3"/>
      <c r="B750" s="3"/>
      <c r="D750" s="2"/>
    </row>
    <row r="751" spans="1:4" ht="14.25" customHeight="1" x14ac:dyDescent="0.3">
      <c r="A751" s="3"/>
      <c r="B751" s="3"/>
      <c r="D751" s="2"/>
    </row>
    <row r="752" spans="1:4" ht="14.25" customHeight="1" x14ac:dyDescent="0.3">
      <c r="A752" s="3"/>
      <c r="B752" s="3"/>
      <c r="D752" s="2"/>
    </row>
    <row r="753" spans="1:4" ht="14.25" customHeight="1" x14ac:dyDescent="0.3">
      <c r="A753" s="3"/>
      <c r="B753" s="3"/>
      <c r="D753" s="2"/>
    </row>
    <row r="754" spans="1:4" ht="14.25" customHeight="1" x14ac:dyDescent="0.3">
      <c r="A754" s="3"/>
      <c r="B754" s="3"/>
      <c r="D754" s="2"/>
    </row>
    <row r="755" spans="1:4" ht="14.25" customHeight="1" x14ac:dyDescent="0.3">
      <c r="A755" s="3"/>
      <c r="B755" s="3"/>
      <c r="D755" s="2"/>
    </row>
    <row r="756" spans="1:4" ht="14.25" customHeight="1" x14ac:dyDescent="0.3">
      <c r="A756" s="3"/>
      <c r="B756" s="3"/>
      <c r="D756" s="2"/>
    </row>
    <row r="757" spans="1:4" ht="14.25" customHeight="1" x14ac:dyDescent="0.3">
      <c r="A757" s="3"/>
      <c r="B757" s="3"/>
      <c r="D757" s="2"/>
    </row>
    <row r="758" spans="1:4" ht="14.25" customHeight="1" x14ac:dyDescent="0.3">
      <c r="A758" s="3"/>
      <c r="B758" s="3"/>
      <c r="D758" s="2"/>
    </row>
    <row r="759" spans="1:4" ht="14.25" customHeight="1" x14ac:dyDescent="0.3">
      <c r="A759" s="3"/>
      <c r="B759" s="3"/>
      <c r="D759" s="2"/>
    </row>
    <row r="760" spans="1:4" ht="14.25" customHeight="1" x14ac:dyDescent="0.3">
      <c r="A760" s="3"/>
      <c r="B760" s="3"/>
      <c r="D760" s="2"/>
    </row>
    <row r="761" spans="1:4" ht="14.25" customHeight="1" x14ac:dyDescent="0.3">
      <c r="A761" s="3"/>
      <c r="B761" s="3"/>
      <c r="D761" s="2"/>
    </row>
    <row r="762" spans="1:4" ht="14.25" customHeight="1" x14ac:dyDescent="0.3">
      <c r="A762" s="3"/>
      <c r="B762" s="3"/>
      <c r="D762" s="2"/>
    </row>
    <row r="763" spans="1:4" ht="14.25" customHeight="1" x14ac:dyDescent="0.3">
      <c r="A763" s="3"/>
      <c r="B763" s="3"/>
      <c r="D763" s="2"/>
    </row>
    <row r="764" spans="1:4" ht="14.25" customHeight="1" x14ac:dyDescent="0.3">
      <c r="A764" s="3"/>
      <c r="B764" s="3"/>
      <c r="D764" s="2"/>
    </row>
    <row r="765" spans="1:4" ht="14.25" customHeight="1" x14ac:dyDescent="0.3">
      <c r="A765" s="3"/>
      <c r="B765" s="3"/>
      <c r="D765" s="2"/>
    </row>
    <row r="766" spans="1:4" ht="14.25" customHeight="1" x14ac:dyDescent="0.3">
      <c r="A766" s="3"/>
      <c r="B766" s="3"/>
      <c r="D766" s="2"/>
    </row>
    <row r="767" spans="1:4" ht="14.25" customHeight="1" x14ac:dyDescent="0.3">
      <c r="A767" s="3"/>
      <c r="B767" s="3"/>
      <c r="D767" s="2"/>
    </row>
    <row r="768" spans="1:4" ht="14.25" customHeight="1" x14ac:dyDescent="0.3">
      <c r="A768" s="3"/>
      <c r="B768" s="3"/>
      <c r="D768" s="2"/>
    </row>
    <row r="769" spans="1:4" ht="14.25" customHeight="1" x14ac:dyDescent="0.3">
      <c r="A769" s="3"/>
      <c r="B769" s="3"/>
      <c r="D769" s="2"/>
    </row>
    <row r="770" spans="1:4" ht="14.25" customHeight="1" x14ac:dyDescent="0.3">
      <c r="A770" s="3"/>
      <c r="B770" s="3"/>
      <c r="D770" s="2"/>
    </row>
    <row r="771" spans="1:4" ht="14.25" customHeight="1" x14ac:dyDescent="0.3">
      <c r="A771" s="3"/>
      <c r="B771" s="3"/>
      <c r="D771" s="2"/>
    </row>
    <row r="772" spans="1:4" ht="14.25" customHeight="1" x14ac:dyDescent="0.3">
      <c r="A772" s="3"/>
      <c r="B772" s="3"/>
      <c r="D772" s="2"/>
    </row>
    <row r="773" spans="1:4" ht="14.25" customHeight="1" x14ac:dyDescent="0.3">
      <c r="A773" s="3"/>
      <c r="B773" s="3"/>
      <c r="D773" s="2"/>
    </row>
    <row r="774" spans="1:4" ht="14.25" customHeight="1" x14ac:dyDescent="0.3">
      <c r="A774" s="3"/>
      <c r="B774" s="3"/>
      <c r="D774" s="2"/>
    </row>
    <row r="775" spans="1:4" ht="14.25" customHeight="1" x14ac:dyDescent="0.3">
      <c r="A775" s="3"/>
      <c r="B775" s="3"/>
      <c r="D775" s="2"/>
    </row>
    <row r="776" spans="1:4" ht="14.25" customHeight="1" x14ac:dyDescent="0.3">
      <c r="A776" s="3"/>
      <c r="B776" s="3"/>
      <c r="D776" s="2"/>
    </row>
    <row r="777" spans="1:4" ht="14.25" customHeight="1" x14ac:dyDescent="0.3">
      <c r="A777" s="3"/>
      <c r="B777" s="3"/>
      <c r="D777" s="2"/>
    </row>
    <row r="778" spans="1:4" ht="14.25" customHeight="1" x14ac:dyDescent="0.3">
      <c r="A778" s="3"/>
      <c r="B778" s="3"/>
      <c r="D778" s="2"/>
    </row>
    <row r="779" spans="1:4" ht="14.25" customHeight="1" x14ac:dyDescent="0.3">
      <c r="A779" s="3"/>
      <c r="B779" s="3"/>
      <c r="D779" s="2"/>
    </row>
    <row r="780" spans="1:4" ht="14.25" customHeight="1" x14ac:dyDescent="0.3">
      <c r="A780" s="3"/>
      <c r="B780" s="3"/>
      <c r="D780" s="2"/>
    </row>
    <row r="781" spans="1:4" ht="14.25" customHeight="1" x14ac:dyDescent="0.3">
      <c r="A781" s="3"/>
      <c r="B781" s="3"/>
      <c r="D781" s="2"/>
    </row>
    <row r="782" spans="1:4" ht="14.25" customHeight="1" x14ac:dyDescent="0.3">
      <c r="A782" s="3"/>
      <c r="B782" s="3"/>
      <c r="D782" s="2"/>
    </row>
    <row r="783" spans="1:4" ht="14.25" customHeight="1" x14ac:dyDescent="0.3">
      <c r="A783" s="3"/>
      <c r="B783" s="3"/>
      <c r="D783" s="2"/>
    </row>
    <row r="784" spans="1:4" ht="14.25" customHeight="1" x14ac:dyDescent="0.3">
      <c r="A784" s="3"/>
      <c r="B784" s="3"/>
      <c r="D784" s="2"/>
    </row>
    <row r="785" spans="1:4" ht="14.25" customHeight="1" x14ac:dyDescent="0.3">
      <c r="A785" s="3"/>
      <c r="B785" s="3"/>
      <c r="D785" s="2"/>
    </row>
    <row r="786" spans="1:4" ht="14.25" customHeight="1" x14ac:dyDescent="0.3">
      <c r="A786" s="3"/>
      <c r="B786" s="3"/>
      <c r="D786" s="2"/>
    </row>
    <row r="787" spans="1:4" ht="14.25" customHeight="1" x14ac:dyDescent="0.3">
      <c r="A787" s="3"/>
      <c r="B787" s="3"/>
      <c r="D787" s="2"/>
    </row>
    <row r="788" spans="1:4" ht="14.25" customHeight="1" x14ac:dyDescent="0.3">
      <c r="A788" s="3"/>
      <c r="B788" s="3"/>
      <c r="D788" s="2"/>
    </row>
    <row r="789" spans="1:4" ht="14.25" customHeight="1" x14ac:dyDescent="0.3">
      <c r="A789" s="3"/>
      <c r="B789" s="3"/>
      <c r="D789" s="2"/>
    </row>
    <row r="790" spans="1:4" ht="14.25" customHeight="1" x14ac:dyDescent="0.3">
      <c r="A790" s="3"/>
      <c r="B790" s="3"/>
      <c r="D790" s="2"/>
    </row>
    <row r="791" spans="1:4" ht="14.25" customHeight="1" x14ac:dyDescent="0.3">
      <c r="A791" s="3"/>
      <c r="B791" s="3"/>
      <c r="D791" s="2"/>
    </row>
    <row r="792" spans="1:4" ht="14.25" customHeight="1" x14ac:dyDescent="0.3">
      <c r="A792" s="3"/>
      <c r="B792" s="3"/>
      <c r="D792" s="2"/>
    </row>
    <row r="793" spans="1:4" ht="14.25" customHeight="1" x14ac:dyDescent="0.3">
      <c r="A793" s="3"/>
      <c r="B793" s="3"/>
      <c r="D793" s="2"/>
    </row>
    <row r="794" spans="1:4" ht="14.25" customHeight="1" x14ac:dyDescent="0.3">
      <c r="A794" s="3"/>
      <c r="B794" s="3"/>
      <c r="D794" s="2"/>
    </row>
    <row r="795" spans="1:4" ht="14.25" customHeight="1" x14ac:dyDescent="0.3">
      <c r="A795" s="3"/>
      <c r="B795" s="3"/>
      <c r="D795" s="2"/>
    </row>
    <row r="796" spans="1:4" ht="14.25" customHeight="1" x14ac:dyDescent="0.3">
      <c r="A796" s="3"/>
      <c r="B796" s="3"/>
      <c r="D796" s="2"/>
    </row>
    <row r="797" spans="1:4" ht="14.25" customHeight="1" x14ac:dyDescent="0.3">
      <c r="A797" s="3"/>
      <c r="B797" s="3"/>
      <c r="D797" s="2"/>
    </row>
    <row r="798" spans="1:4" ht="14.25" customHeight="1" x14ac:dyDescent="0.3">
      <c r="A798" s="3"/>
      <c r="B798" s="3"/>
      <c r="D798" s="2"/>
    </row>
    <row r="799" spans="1:4" ht="14.25" customHeight="1" x14ac:dyDescent="0.3">
      <c r="A799" s="3"/>
      <c r="B799" s="3"/>
      <c r="D799" s="2"/>
    </row>
    <row r="800" spans="1:4" ht="14.25" customHeight="1" x14ac:dyDescent="0.3">
      <c r="A800" s="3"/>
      <c r="B800" s="3"/>
      <c r="D800" s="2"/>
    </row>
    <row r="801" spans="1:4" ht="14.25" customHeight="1" x14ac:dyDescent="0.3">
      <c r="A801" s="3"/>
      <c r="B801" s="3"/>
      <c r="D801" s="2"/>
    </row>
    <row r="802" spans="1:4" ht="14.25" customHeight="1" x14ac:dyDescent="0.3">
      <c r="A802" s="3"/>
      <c r="B802" s="3"/>
      <c r="D802" s="2"/>
    </row>
    <row r="803" spans="1:4" ht="14.25" customHeight="1" x14ac:dyDescent="0.3">
      <c r="A803" s="3"/>
      <c r="B803" s="3"/>
      <c r="D803" s="2"/>
    </row>
    <row r="804" spans="1:4" ht="14.25" customHeight="1" x14ac:dyDescent="0.3">
      <c r="A804" s="3"/>
      <c r="B804" s="3"/>
      <c r="D804" s="2"/>
    </row>
    <row r="805" spans="1:4" ht="14.25" customHeight="1" x14ac:dyDescent="0.3">
      <c r="A805" s="3"/>
      <c r="B805" s="3"/>
      <c r="D805" s="2"/>
    </row>
    <row r="806" spans="1:4" ht="14.25" customHeight="1" x14ac:dyDescent="0.3">
      <c r="A806" s="3"/>
      <c r="B806" s="3"/>
      <c r="D806" s="2"/>
    </row>
    <row r="807" spans="1:4" ht="14.25" customHeight="1" x14ac:dyDescent="0.3">
      <c r="A807" s="3"/>
      <c r="B807" s="3"/>
      <c r="D807" s="2"/>
    </row>
    <row r="808" spans="1:4" ht="14.25" customHeight="1" x14ac:dyDescent="0.3">
      <c r="A808" s="3"/>
      <c r="B808" s="3"/>
      <c r="D808" s="2"/>
    </row>
    <row r="809" spans="1:4" ht="14.25" customHeight="1" x14ac:dyDescent="0.3">
      <c r="A809" s="3"/>
      <c r="B809" s="3"/>
      <c r="D809" s="2"/>
    </row>
    <row r="810" spans="1:4" ht="14.25" customHeight="1" x14ac:dyDescent="0.3">
      <c r="A810" s="3"/>
      <c r="B810" s="3"/>
      <c r="D810" s="2"/>
    </row>
    <row r="811" spans="1:4" ht="14.25" customHeight="1" x14ac:dyDescent="0.3">
      <c r="A811" s="3"/>
      <c r="B811" s="3"/>
      <c r="D811" s="2"/>
    </row>
    <row r="812" spans="1:4" ht="14.25" customHeight="1" x14ac:dyDescent="0.3">
      <c r="A812" s="3"/>
      <c r="B812" s="3"/>
      <c r="D812" s="2"/>
    </row>
    <row r="813" spans="1:4" ht="14.25" customHeight="1" x14ac:dyDescent="0.3">
      <c r="A813" s="3"/>
      <c r="B813" s="3"/>
      <c r="D813" s="2"/>
    </row>
    <row r="814" spans="1:4" ht="14.25" customHeight="1" x14ac:dyDescent="0.3">
      <c r="A814" s="3"/>
      <c r="B814" s="3"/>
      <c r="D814" s="2"/>
    </row>
    <row r="815" spans="1:4" ht="14.25" customHeight="1" x14ac:dyDescent="0.3">
      <c r="A815" s="3"/>
      <c r="B815" s="3"/>
      <c r="D815" s="2"/>
    </row>
    <row r="816" spans="1:4" ht="14.25" customHeight="1" x14ac:dyDescent="0.3">
      <c r="A816" s="3"/>
      <c r="B816" s="3"/>
      <c r="D816" s="2"/>
    </row>
    <row r="817" spans="1:4" ht="14.25" customHeight="1" x14ac:dyDescent="0.3">
      <c r="A817" s="3"/>
      <c r="B817" s="3"/>
      <c r="D817" s="2"/>
    </row>
    <row r="818" spans="1:4" ht="14.25" customHeight="1" x14ac:dyDescent="0.3">
      <c r="A818" s="3"/>
      <c r="B818" s="3"/>
      <c r="D818" s="2"/>
    </row>
    <row r="819" spans="1:4" ht="14.25" customHeight="1" x14ac:dyDescent="0.3">
      <c r="A819" s="3"/>
      <c r="B819" s="3"/>
      <c r="D819" s="2"/>
    </row>
    <row r="820" spans="1:4" ht="14.25" customHeight="1" x14ac:dyDescent="0.3">
      <c r="A820" s="3"/>
      <c r="B820" s="3"/>
      <c r="D820" s="2"/>
    </row>
    <row r="821" spans="1:4" ht="14.25" customHeight="1" x14ac:dyDescent="0.3">
      <c r="A821" s="3"/>
      <c r="B821" s="3"/>
      <c r="D821" s="2"/>
    </row>
    <row r="822" spans="1:4" ht="14.25" customHeight="1" x14ac:dyDescent="0.3">
      <c r="A822" s="3"/>
      <c r="B822" s="3"/>
      <c r="D822" s="2"/>
    </row>
    <row r="823" spans="1:4" ht="14.25" customHeight="1" x14ac:dyDescent="0.3">
      <c r="A823" s="3"/>
      <c r="B823" s="3"/>
      <c r="D823" s="2"/>
    </row>
    <row r="824" spans="1:4" ht="14.25" customHeight="1" x14ac:dyDescent="0.3">
      <c r="A824" s="3"/>
      <c r="B824" s="3"/>
      <c r="D824" s="2"/>
    </row>
    <row r="825" spans="1:4" ht="14.25" customHeight="1" x14ac:dyDescent="0.3">
      <c r="A825" s="3"/>
      <c r="B825" s="3"/>
      <c r="D825" s="2"/>
    </row>
    <row r="826" spans="1:4" ht="14.25" customHeight="1" x14ac:dyDescent="0.3">
      <c r="A826" s="3"/>
      <c r="B826" s="3"/>
      <c r="D826" s="2"/>
    </row>
    <row r="827" spans="1:4" ht="14.25" customHeight="1" x14ac:dyDescent="0.3">
      <c r="A827" s="3"/>
      <c r="B827" s="3"/>
      <c r="D827" s="2"/>
    </row>
    <row r="828" spans="1:4" ht="14.25" customHeight="1" x14ac:dyDescent="0.3">
      <c r="A828" s="3"/>
      <c r="B828" s="3"/>
      <c r="D828" s="2"/>
    </row>
    <row r="829" spans="1:4" ht="14.25" customHeight="1" x14ac:dyDescent="0.3">
      <c r="A829" s="3"/>
      <c r="B829" s="3"/>
      <c r="D829" s="2"/>
    </row>
    <row r="830" spans="1:4" ht="14.25" customHeight="1" x14ac:dyDescent="0.3">
      <c r="A830" s="3"/>
      <c r="B830" s="3"/>
      <c r="D830" s="2"/>
    </row>
    <row r="831" spans="1:4" ht="14.25" customHeight="1" x14ac:dyDescent="0.3">
      <c r="A831" s="3"/>
      <c r="B831" s="3"/>
      <c r="D831" s="2"/>
    </row>
    <row r="832" spans="1:4" ht="14.25" customHeight="1" x14ac:dyDescent="0.3">
      <c r="A832" s="3"/>
      <c r="B832" s="3"/>
      <c r="D832" s="2"/>
    </row>
    <row r="833" spans="1:4" ht="14.25" customHeight="1" x14ac:dyDescent="0.3">
      <c r="A833" s="3"/>
      <c r="B833" s="3"/>
      <c r="D833" s="2"/>
    </row>
    <row r="834" spans="1:4" ht="14.25" customHeight="1" x14ac:dyDescent="0.3">
      <c r="A834" s="3"/>
      <c r="B834" s="3"/>
      <c r="D834" s="2"/>
    </row>
    <row r="835" spans="1:4" ht="14.25" customHeight="1" x14ac:dyDescent="0.3">
      <c r="A835" s="3"/>
      <c r="B835" s="3"/>
      <c r="D835" s="2"/>
    </row>
    <row r="836" spans="1:4" ht="14.25" customHeight="1" x14ac:dyDescent="0.3">
      <c r="A836" s="3"/>
      <c r="B836" s="3"/>
      <c r="D836" s="2"/>
    </row>
    <row r="837" spans="1:4" ht="14.25" customHeight="1" x14ac:dyDescent="0.3">
      <c r="A837" s="3"/>
      <c r="B837" s="3"/>
      <c r="D837" s="2"/>
    </row>
    <row r="838" spans="1:4" ht="14.25" customHeight="1" x14ac:dyDescent="0.3">
      <c r="A838" s="3"/>
      <c r="B838" s="3"/>
      <c r="D838" s="2"/>
    </row>
    <row r="839" spans="1:4" ht="14.25" customHeight="1" x14ac:dyDescent="0.3">
      <c r="A839" s="3"/>
      <c r="B839" s="3"/>
      <c r="D839" s="2"/>
    </row>
    <row r="840" spans="1:4" ht="14.25" customHeight="1" x14ac:dyDescent="0.3">
      <c r="A840" s="3"/>
      <c r="B840" s="3"/>
      <c r="D840" s="2"/>
    </row>
    <row r="841" spans="1:4" ht="14.25" customHeight="1" x14ac:dyDescent="0.3">
      <c r="A841" s="3"/>
      <c r="B841" s="3"/>
      <c r="D841" s="2"/>
    </row>
    <row r="842" spans="1:4" ht="14.25" customHeight="1" x14ac:dyDescent="0.3">
      <c r="A842" s="3"/>
      <c r="B842" s="3"/>
      <c r="D842" s="2"/>
    </row>
    <row r="843" spans="1:4" ht="14.25" customHeight="1" x14ac:dyDescent="0.3">
      <c r="A843" s="3"/>
      <c r="B843" s="3"/>
      <c r="D843" s="2"/>
    </row>
    <row r="844" spans="1:4" ht="14.25" customHeight="1" x14ac:dyDescent="0.3">
      <c r="A844" s="3"/>
      <c r="B844" s="3"/>
      <c r="D844" s="2"/>
    </row>
    <row r="845" spans="1:4" ht="14.25" customHeight="1" x14ac:dyDescent="0.3">
      <c r="A845" s="3"/>
      <c r="B845" s="3"/>
      <c r="D845" s="2"/>
    </row>
    <row r="846" spans="1:4" ht="14.25" customHeight="1" x14ac:dyDescent="0.3">
      <c r="A846" s="3"/>
      <c r="B846" s="3"/>
      <c r="D846" s="2"/>
    </row>
    <row r="847" spans="1:4" ht="14.25" customHeight="1" x14ac:dyDescent="0.3">
      <c r="A847" s="3"/>
      <c r="B847" s="3"/>
      <c r="D847" s="2"/>
    </row>
    <row r="848" spans="1:4" ht="14.25" customHeight="1" x14ac:dyDescent="0.3">
      <c r="A848" s="3"/>
      <c r="B848" s="3"/>
      <c r="D848" s="2"/>
    </row>
    <row r="849" spans="1:4" ht="14.25" customHeight="1" x14ac:dyDescent="0.3">
      <c r="A849" s="3"/>
      <c r="B849" s="3"/>
      <c r="D849" s="2"/>
    </row>
    <row r="850" spans="1:4" ht="14.25" customHeight="1" x14ac:dyDescent="0.3">
      <c r="A850" s="3"/>
      <c r="B850" s="3"/>
      <c r="D850" s="2"/>
    </row>
    <row r="851" spans="1:4" ht="14.25" customHeight="1" x14ac:dyDescent="0.3">
      <c r="A851" s="3"/>
      <c r="B851" s="3"/>
      <c r="D851" s="2"/>
    </row>
    <row r="852" spans="1:4" ht="14.25" customHeight="1" x14ac:dyDescent="0.3">
      <c r="A852" s="3"/>
      <c r="B852" s="3"/>
      <c r="D852" s="2"/>
    </row>
    <row r="853" spans="1:4" ht="14.25" customHeight="1" x14ac:dyDescent="0.3">
      <c r="A853" s="3"/>
      <c r="B853" s="3"/>
      <c r="D853" s="2"/>
    </row>
    <row r="854" spans="1:4" ht="14.25" customHeight="1" x14ac:dyDescent="0.3">
      <c r="A854" s="3"/>
      <c r="B854" s="3"/>
      <c r="D854" s="2"/>
    </row>
    <row r="855" spans="1:4" ht="14.25" customHeight="1" x14ac:dyDescent="0.3">
      <c r="A855" s="3"/>
      <c r="B855" s="3"/>
      <c r="D855" s="2"/>
    </row>
    <row r="856" spans="1:4" ht="14.25" customHeight="1" x14ac:dyDescent="0.3">
      <c r="A856" s="3"/>
      <c r="B856" s="3"/>
      <c r="D856" s="2"/>
    </row>
    <row r="857" spans="1:4" ht="14.25" customHeight="1" x14ac:dyDescent="0.3">
      <c r="A857" s="3"/>
      <c r="B857" s="3"/>
      <c r="D857" s="2"/>
    </row>
    <row r="858" spans="1:4" ht="14.25" customHeight="1" x14ac:dyDescent="0.3">
      <c r="A858" s="3"/>
      <c r="B858" s="3"/>
      <c r="D858" s="2"/>
    </row>
    <row r="859" spans="1:4" ht="14.25" customHeight="1" x14ac:dyDescent="0.3">
      <c r="A859" s="3"/>
      <c r="B859" s="3"/>
      <c r="D859" s="2"/>
    </row>
    <row r="860" spans="1:4" ht="14.25" customHeight="1" x14ac:dyDescent="0.3">
      <c r="A860" s="3"/>
      <c r="B860" s="3"/>
      <c r="D860" s="2"/>
    </row>
    <row r="861" spans="1:4" ht="14.25" customHeight="1" x14ac:dyDescent="0.3">
      <c r="A861" s="3"/>
      <c r="B861" s="3"/>
      <c r="D861" s="2"/>
    </row>
    <row r="862" spans="1:4" ht="14.25" customHeight="1" x14ac:dyDescent="0.3">
      <c r="A862" s="3"/>
      <c r="B862" s="3"/>
      <c r="D862" s="2"/>
    </row>
    <row r="863" spans="1:4" ht="14.25" customHeight="1" x14ac:dyDescent="0.3">
      <c r="A863" s="3"/>
      <c r="B863" s="3"/>
      <c r="D863" s="2"/>
    </row>
    <row r="864" spans="1:4" ht="14.25" customHeight="1" x14ac:dyDescent="0.3">
      <c r="A864" s="3"/>
      <c r="B864" s="3"/>
      <c r="D864" s="2"/>
    </row>
    <row r="865" spans="1:4" ht="14.25" customHeight="1" x14ac:dyDescent="0.3">
      <c r="A865" s="3"/>
      <c r="B865" s="3"/>
      <c r="D865" s="2"/>
    </row>
    <row r="866" spans="1:4" ht="14.25" customHeight="1" x14ac:dyDescent="0.3">
      <c r="A866" s="3"/>
      <c r="B866" s="3"/>
      <c r="D866" s="2"/>
    </row>
    <row r="867" spans="1:4" ht="14.25" customHeight="1" x14ac:dyDescent="0.3">
      <c r="A867" s="3"/>
      <c r="B867" s="3"/>
      <c r="D867" s="2"/>
    </row>
    <row r="868" spans="1:4" ht="14.25" customHeight="1" x14ac:dyDescent="0.3">
      <c r="A868" s="3"/>
      <c r="B868" s="3"/>
      <c r="D868" s="2"/>
    </row>
    <row r="869" spans="1:4" ht="14.25" customHeight="1" x14ac:dyDescent="0.3">
      <c r="A869" s="3"/>
      <c r="B869" s="3"/>
      <c r="D869" s="2"/>
    </row>
    <row r="870" spans="1:4" ht="14.25" customHeight="1" x14ac:dyDescent="0.3">
      <c r="A870" s="3"/>
      <c r="B870" s="3"/>
      <c r="D870" s="2"/>
    </row>
    <row r="871" spans="1:4" ht="14.25" customHeight="1" x14ac:dyDescent="0.3">
      <c r="A871" s="3"/>
      <c r="B871" s="3"/>
      <c r="D871" s="2"/>
    </row>
    <row r="872" spans="1:4" ht="14.25" customHeight="1" x14ac:dyDescent="0.3">
      <c r="A872" s="3"/>
      <c r="B872" s="3"/>
      <c r="D872" s="2"/>
    </row>
    <row r="873" spans="1:4" ht="14.25" customHeight="1" x14ac:dyDescent="0.3">
      <c r="A873" s="3"/>
      <c r="B873" s="3"/>
      <c r="D873" s="2"/>
    </row>
    <row r="874" spans="1:4" ht="14.25" customHeight="1" x14ac:dyDescent="0.3">
      <c r="A874" s="3"/>
      <c r="B874" s="3"/>
      <c r="D874" s="2"/>
    </row>
    <row r="875" spans="1:4" ht="14.25" customHeight="1" x14ac:dyDescent="0.3">
      <c r="A875" s="3"/>
      <c r="B875" s="3"/>
      <c r="D875" s="2"/>
    </row>
    <row r="876" spans="1:4" ht="14.25" customHeight="1" x14ac:dyDescent="0.3">
      <c r="A876" s="3"/>
      <c r="B876" s="3"/>
      <c r="D876" s="2"/>
    </row>
    <row r="877" spans="1:4" ht="14.25" customHeight="1" x14ac:dyDescent="0.3">
      <c r="A877" s="3"/>
      <c r="B877" s="3"/>
      <c r="D877" s="2"/>
    </row>
    <row r="878" spans="1:4" ht="14.25" customHeight="1" x14ac:dyDescent="0.3">
      <c r="A878" s="3"/>
      <c r="B878" s="3"/>
      <c r="D878" s="2"/>
    </row>
    <row r="879" spans="1:4" ht="14.25" customHeight="1" x14ac:dyDescent="0.3">
      <c r="A879" s="3"/>
      <c r="B879" s="3"/>
      <c r="D879" s="2"/>
    </row>
    <row r="880" spans="1:4" ht="14.25" customHeight="1" x14ac:dyDescent="0.3">
      <c r="A880" s="3"/>
      <c r="B880" s="3"/>
      <c r="D880" s="2"/>
    </row>
    <row r="881" spans="1:4" ht="14.25" customHeight="1" x14ac:dyDescent="0.3">
      <c r="A881" s="3"/>
      <c r="B881" s="3"/>
      <c r="D881" s="2"/>
    </row>
    <row r="882" spans="1:4" ht="14.25" customHeight="1" x14ac:dyDescent="0.3">
      <c r="A882" s="3"/>
      <c r="B882" s="3"/>
      <c r="D882" s="2"/>
    </row>
    <row r="883" spans="1:4" ht="14.25" customHeight="1" x14ac:dyDescent="0.3">
      <c r="A883" s="3"/>
      <c r="B883" s="3"/>
      <c r="D883" s="2"/>
    </row>
    <row r="884" spans="1:4" ht="14.25" customHeight="1" x14ac:dyDescent="0.3">
      <c r="A884" s="3"/>
      <c r="B884" s="3"/>
      <c r="D884" s="2"/>
    </row>
    <row r="885" spans="1:4" ht="14.25" customHeight="1" x14ac:dyDescent="0.3">
      <c r="A885" s="3"/>
      <c r="B885" s="3"/>
      <c r="D885" s="2"/>
    </row>
    <row r="886" spans="1:4" ht="14.25" customHeight="1" x14ac:dyDescent="0.3">
      <c r="A886" s="3"/>
      <c r="B886" s="3"/>
      <c r="D886" s="2"/>
    </row>
    <row r="887" spans="1:4" ht="14.25" customHeight="1" x14ac:dyDescent="0.3">
      <c r="A887" s="3"/>
      <c r="B887" s="3"/>
      <c r="D887" s="2"/>
    </row>
    <row r="888" spans="1:4" ht="14.25" customHeight="1" x14ac:dyDescent="0.3">
      <c r="A888" s="3"/>
      <c r="B888" s="3"/>
      <c r="D888" s="2"/>
    </row>
    <row r="889" spans="1:4" ht="14.25" customHeight="1" x14ac:dyDescent="0.3">
      <c r="A889" s="3"/>
      <c r="B889" s="3"/>
      <c r="D889" s="2"/>
    </row>
    <row r="890" spans="1:4" ht="14.25" customHeight="1" x14ac:dyDescent="0.3">
      <c r="A890" s="3"/>
      <c r="B890" s="3"/>
      <c r="D890" s="2"/>
    </row>
    <row r="891" spans="1:4" ht="14.25" customHeight="1" x14ac:dyDescent="0.3">
      <c r="A891" s="3"/>
      <c r="B891" s="3"/>
      <c r="D891" s="2"/>
    </row>
    <row r="892" spans="1:4" ht="14.25" customHeight="1" x14ac:dyDescent="0.3">
      <c r="A892" s="3"/>
      <c r="B892" s="3"/>
      <c r="D892" s="2"/>
    </row>
    <row r="893" spans="1:4" ht="14.25" customHeight="1" x14ac:dyDescent="0.3">
      <c r="A893" s="3"/>
      <c r="B893" s="3"/>
      <c r="D893" s="2"/>
    </row>
    <row r="894" spans="1:4" ht="14.25" customHeight="1" x14ac:dyDescent="0.3">
      <c r="A894" s="3"/>
      <c r="B894" s="3"/>
      <c r="D894" s="2"/>
    </row>
    <row r="895" spans="1:4" ht="14.25" customHeight="1" x14ac:dyDescent="0.3">
      <c r="A895" s="3"/>
      <c r="B895" s="3"/>
      <c r="D895" s="2"/>
    </row>
    <row r="896" spans="1:4" ht="14.25" customHeight="1" x14ac:dyDescent="0.3">
      <c r="A896" s="3"/>
      <c r="B896" s="3"/>
      <c r="D896" s="2"/>
    </row>
    <row r="897" spans="1:4" ht="14.25" customHeight="1" x14ac:dyDescent="0.3">
      <c r="A897" s="3"/>
      <c r="B897" s="3"/>
      <c r="D897" s="2"/>
    </row>
    <row r="898" spans="1:4" ht="14.25" customHeight="1" x14ac:dyDescent="0.3">
      <c r="A898" s="3"/>
      <c r="B898" s="3"/>
      <c r="D898" s="2"/>
    </row>
    <row r="899" spans="1:4" ht="14.25" customHeight="1" x14ac:dyDescent="0.3">
      <c r="A899" s="3"/>
      <c r="B899" s="3"/>
      <c r="D899" s="2"/>
    </row>
    <row r="900" spans="1:4" ht="14.25" customHeight="1" x14ac:dyDescent="0.3">
      <c r="A900" s="3"/>
      <c r="B900" s="3"/>
      <c r="D900" s="2"/>
    </row>
    <row r="901" spans="1:4" ht="14.25" customHeight="1" x14ac:dyDescent="0.3">
      <c r="A901" s="3"/>
      <c r="B901" s="3"/>
      <c r="D901" s="2"/>
    </row>
    <row r="902" spans="1:4" ht="14.25" customHeight="1" x14ac:dyDescent="0.3">
      <c r="A902" s="3"/>
      <c r="B902" s="3"/>
      <c r="D902" s="2"/>
    </row>
    <row r="903" spans="1:4" ht="14.25" customHeight="1" x14ac:dyDescent="0.3">
      <c r="A903" s="3"/>
      <c r="B903" s="3"/>
      <c r="D903" s="2"/>
    </row>
    <row r="904" spans="1:4" ht="14.25" customHeight="1" x14ac:dyDescent="0.3">
      <c r="A904" s="3"/>
      <c r="B904" s="3"/>
      <c r="D904" s="2"/>
    </row>
    <row r="905" spans="1:4" ht="14.25" customHeight="1" x14ac:dyDescent="0.3">
      <c r="A905" s="3"/>
      <c r="B905" s="3"/>
      <c r="D905" s="2"/>
    </row>
    <row r="906" spans="1:4" ht="14.25" customHeight="1" x14ac:dyDescent="0.3">
      <c r="A906" s="3"/>
      <c r="B906" s="3"/>
      <c r="D906" s="2"/>
    </row>
    <row r="907" spans="1:4" ht="14.25" customHeight="1" x14ac:dyDescent="0.3">
      <c r="A907" s="3"/>
      <c r="B907" s="3"/>
      <c r="D907" s="2"/>
    </row>
    <row r="908" spans="1:4" ht="14.25" customHeight="1" x14ac:dyDescent="0.3">
      <c r="A908" s="3"/>
      <c r="B908" s="3"/>
      <c r="D908" s="2"/>
    </row>
    <row r="909" spans="1:4" ht="14.25" customHeight="1" x14ac:dyDescent="0.3">
      <c r="A909" s="3"/>
      <c r="B909" s="3"/>
      <c r="D909" s="2"/>
    </row>
    <row r="910" spans="1:4" ht="14.25" customHeight="1" x14ac:dyDescent="0.3">
      <c r="A910" s="3"/>
      <c r="B910" s="3"/>
      <c r="D910" s="2"/>
    </row>
    <row r="911" spans="1:4" ht="14.25" customHeight="1" x14ac:dyDescent="0.3">
      <c r="A911" s="3"/>
      <c r="B911" s="3"/>
      <c r="D911" s="2"/>
    </row>
    <row r="912" spans="1:4" ht="14.25" customHeight="1" x14ac:dyDescent="0.3">
      <c r="A912" s="3"/>
      <c r="B912" s="3"/>
      <c r="D912" s="2"/>
    </row>
    <row r="913" spans="1:4" ht="14.25" customHeight="1" x14ac:dyDescent="0.3">
      <c r="A913" s="3"/>
      <c r="B913" s="3"/>
      <c r="D913" s="2"/>
    </row>
    <row r="914" spans="1:4" ht="14.25" customHeight="1" x14ac:dyDescent="0.3">
      <c r="A914" s="3"/>
      <c r="B914" s="3"/>
      <c r="D914" s="2"/>
    </row>
    <row r="915" spans="1:4" ht="14.25" customHeight="1" x14ac:dyDescent="0.3">
      <c r="A915" s="3"/>
      <c r="B915" s="3"/>
      <c r="D915" s="2"/>
    </row>
    <row r="916" spans="1:4" ht="14.25" customHeight="1" x14ac:dyDescent="0.3">
      <c r="A916" s="3"/>
      <c r="B916" s="3"/>
      <c r="D916" s="2"/>
    </row>
    <row r="917" spans="1:4" ht="14.25" customHeight="1" x14ac:dyDescent="0.3">
      <c r="A917" s="3"/>
      <c r="B917" s="3"/>
      <c r="D917" s="2"/>
    </row>
    <row r="918" spans="1:4" ht="14.25" customHeight="1" x14ac:dyDescent="0.3">
      <c r="A918" s="3"/>
      <c r="B918" s="3"/>
      <c r="D918" s="2"/>
    </row>
    <row r="919" spans="1:4" ht="14.25" customHeight="1" x14ac:dyDescent="0.3">
      <c r="A919" s="3"/>
      <c r="B919" s="3"/>
      <c r="D919" s="2"/>
    </row>
    <row r="920" spans="1:4" ht="14.25" customHeight="1" x14ac:dyDescent="0.3">
      <c r="A920" s="3"/>
      <c r="B920" s="3"/>
      <c r="D920" s="2"/>
    </row>
    <row r="921" spans="1:4" ht="14.25" customHeight="1" x14ac:dyDescent="0.3">
      <c r="A921" s="3"/>
      <c r="B921" s="3"/>
      <c r="D921" s="2"/>
    </row>
    <row r="922" spans="1:4" ht="14.25" customHeight="1" x14ac:dyDescent="0.3">
      <c r="A922" s="3"/>
      <c r="B922" s="3"/>
      <c r="D922" s="2"/>
    </row>
    <row r="923" spans="1:4" ht="14.25" customHeight="1" x14ac:dyDescent="0.3">
      <c r="A923" s="3"/>
      <c r="B923" s="3"/>
      <c r="D923" s="2"/>
    </row>
    <row r="924" spans="1:4" ht="14.25" customHeight="1" x14ac:dyDescent="0.3">
      <c r="A924" s="3"/>
      <c r="B924" s="3"/>
      <c r="D924" s="2"/>
    </row>
    <row r="925" spans="1:4" ht="14.25" customHeight="1" x14ac:dyDescent="0.3">
      <c r="A925" s="3"/>
      <c r="B925" s="3"/>
      <c r="D925" s="2"/>
    </row>
    <row r="926" spans="1:4" ht="14.25" customHeight="1" x14ac:dyDescent="0.3">
      <c r="A926" s="3"/>
      <c r="B926" s="3"/>
      <c r="D926" s="2"/>
    </row>
    <row r="927" spans="1:4" ht="14.25" customHeight="1" x14ac:dyDescent="0.3">
      <c r="A927" s="3"/>
      <c r="B927" s="3"/>
      <c r="D927" s="2"/>
    </row>
    <row r="928" spans="1:4" ht="14.25" customHeight="1" x14ac:dyDescent="0.3">
      <c r="A928" s="3"/>
      <c r="B928" s="3"/>
      <c r="D928" s="2"/>
    </row>
    <row r="929" spans="1:4" ht="14.25" customHeight="1" x14ac:dyDescent="0.3">
      <c r="A929" s="3"/>
      <c r="B929" s="3"/>
      <c r="D929" s="2"/>
    </row>
    <row r="930" spans="1:4" ht="14.25" customHeight="1" x14ac:dyDescent="0.3">
      <c r="A930" s="3"/>
      <c r="B930" s="3"/>
      <c r="D930" s="2"/>
    </row>
    <row r="931" spans="1:4" ht="14.25" customHeight="1" x14ac:dyDescent="0.3">
      <c r="A931" s="3"/>
      <c r="B931" s="3"/>
      <c r="D931" s="2"/>
    </row>
    <row r="932" spans="1:4" ht="14.25" customHeight="1" x14ac:dyDescent="0.3">
      <c r="A932" s="3"/>
      <c r="B932" s="3"/>
      <c r="D932" s="2"/>
    </row>
    <row r="933" spans="1:4" ht="14.25" customHeight="1" x14ac:dyDescent="0.3">
      <c r="A933" s="3"/>
      <c r="B933" s="3"/>
      <c r="D933" s="2"/>
    </row>
    <row r="934" spans="1:4" ht="14.25" customHeight="1" x14ac:dyDescent="0.3">
      <c r="A934" s="3"/>
      <c r="B934" s="3"/>
      <c r="D934" s="2"/>
    </row>
    <row r="935" spans="1:4" ht="14.25" customHeight="1" x14ac:dyDescent="0.3">
      <c r="A935" s="3"/>
      <c r="B935" s="3"/>
      <c r="D935" s="2"/>
    </row>
    <row r="936" spans="1:4" ht="14.25" customHeight="1" x14ac:dyDescent="0.3">
      <c r="A936" s="3"/>
      <c r="B936" s="3"/>
      <c r="D936" s="2"/>
    </row>
    <row r="937" spans="1:4" ht="14.25" customHeight="1" x14ac:dyDescent="0.3">
      <c r="A937" s="3"/>
      <c r="B937" s="3"/>
      <c r="D937" s="2"/>
    </row>
    <row r="938" spans="1:4" ht="14.25" customHeight="1" x14ac:dyDescent="0.3">
      <c r="A938" s="3"/>
      <c r="B938" s="3"/>
      <c r="D938" s="2"/>
    </row>
    <row r="939" spans="1:4" ht="14.25" customHeight="1" x14ac:dyDescent="0.3">
      <c r="A939" s="3"/>
      <c r="B939" s="3"/>
      <c r="D939" s="2"/>
    </row>
    <row r="940" spans="1:4" ht="14.25" customHeight="1" x14ac:dyDescent="0.3">
      <c r="A940" s="3"/>
      <c r="B940" s="3"/>
      <c r="D940" s="2"/>
    </row>
    <row r="941" spans="1:4" ht="14.25" customHeight="1" x14ac:dyDescent="0.3">
      <c r="A941" s="3"/>
      <c r="B941" s="3"/>
      <c r="D941" s="2"/>
    </row>
    <row r="942" spans="1:4" ht="14.25" customHeight="1" x14ac:dyDescent="0.3">
      <c r="A942" s="3"/>
      <c r="B942" s="3"/>
      <c r="D942" s="2"/>
    </row>
    <row r="943" spans="1:4" ht="14.25" customHeight="1" x14ac:dyDescent="0.3">
      <c r="A943" s="3"/>
      <c r="B943" s="3"/>
      <c r="D943" s="2"/>
    </row>
    <row r="944" spans="1:4" ht="14.25" customHeight="1" x14ac:dyDescent="0.3">
      <c r="A944" s="3"/>
      <c r="B944" s="3"/>
      <c r="D944" s="2"/>
    </row>
    <row r="945" spans="1:4" ht="14.25" customHeight="1" x14ac:dyDescent="0.3">
      <c r="A945" s="3"/>
      <c r="B945" s="3"/>
      <c r="D945" s="2"/>
    </row>
    <row r="946" spans="1:4" ht="14.25" customHeight="1" x14ac:dyDescent="0.3">
      <c r="A946" s="3"/>
      <c r="B946" s="3"/>
      <c r="D946" s="2"/>
    </row>
    <row r="947" spans="1:4" ht="14.25" customHeight="1" x14ac:dyDescent="0.3">
      <c r="A947" s="3"/>
      <c r="B947" s="3"/>
      <c r="D947" s="2"/>
    </row>
    <row r="948" spans="1:4" ht="14.25" customHeight="1" x14ac:dyDescent="0.3">
      <c r="A948" s="3"/>
      <c r="B948" s="3"/>
      <c r="D948" s="2"/>
    </row>
    <row r="949" spans="1:4" ht="14.25" customHeight="1" x14ac:dyDescent="0.3">
      <c r="A949" s="3"/>
      <c r="B949" s="3"/>
      <c r="D949" s="2"/>
    </row>
    <row r="950" spans="1:4" ht="14.25" customHeight="1" x14ac:dyDescent="0.3">
      <c r="A950" s="3"/>
      <c r="B950" s="3"/>
      <c r="D950" s="2"/>
    </row>
    <row r="951" spans="1:4" ht="14.25" customHeight="1" x14ac:dyDescent="0.3">
      <c r="A951" s="3"/>
      <c r="B951" s="3"/>
      <c r="D951" s="2"/>
    </row>
    <row r="952" spans="1:4" ht="14.25" customHeight="1" x14ac:dyDescent="0.3">
      <c r="A952" s="3"/>
      <c r="B952" s="3"/>
      <c r="D952" s="2"/>
    </row>
    <row r="953" spans="1:4" ht="14.25" customHeight="1" x14ac:dyDescent="0.3">
      <c r="A953" s="3"/>
      <c r="B953" s="3"/>
      <c r="D953" s="2"/>
    </row>
    <row r="954" spans="1:4" ht="14.25" customHeight="1" x14ac:dyDescent="0.3">
      <c r="A954" s="3"/>
      <c r="B954" s="3"/>
      <c r="D954" s="2"/>
    </row>
    <row r="955" spans="1:4" ht="14.25" customHeight="1" x14ac:dyDescent="0.3">
      <c r="A955" s="3"/>
      <c r="B955" s="3"/>
      <c r="D955" s="2"/>
    </row>
    <row r="956" spans="1:4" ht="14.25" customHeight="1" x14ac:dyDescent="0.3">
      <c r="A956" s="3"/>
      <c r="B956" s="3"/>
      <c r="D956" s="2"/>
    </row>
    <row r="957" spans="1:4" ht="14.25" customHeight="1" x14ac:dyDescent="0.3">
      <c r="A957" s="3"/>
      <c r="B957" s="3"/>
      <c r="D957" s="2"/>
    </row>
    <row r="958" spans="1:4" ht="14.25" customHeight="1" x14ac:dyDescent="0.3">
      <c r="A958" s="3"/>
      <c r="B958" s="3"/>
      <c r="D958" s="2"/>
    </row>
    <row r="959" spans="1:4" ht="14.25" customHeight="1" x14ac:dyDescent="0.3">
      <c r="A959" s="3"/>
      <c r="B959" s="3"/>
      <c r="D959" s="2"/>
    </row>
    <row r="960" spans="1:4" ht="14.25" customHeight="1" x14ac:dyDescent="0.3">
      <c r="A960" s="3"/>
      <c r="B960" s="3"/>
      <c r="D960" s="2"/>
    </row>
    <row r="961" spans="1:4" ht="14.25" customHeight="1" x14ac:dyDescent="0.3">
      <c r="A961" s="3"/>
      <c r="B961" s="3"/>
      <c r="D961" s="2"/>
    </row>
    <row r="962" spans="1:4" ht="14.25" customHeight="1" x14ac:dyDescent="0.3">
      <c r="A962" s="3"/>
      <c r="B962" s="3"/>
      <c r="D962" s="2"/>
    </row>
    <row r="963" spans="1:4" ht="14.25" customHeight="1" x14ac:dyDescent="0.3">
      <c r="A963" s="3"/>
      <c r="B963" s="3"/>
      <c r="D963" s="2"/>
    </row>
    <row r="964" spans="1:4" ht="14.25" customHeight="1" x14ac:dyDescent="0.3">
      <c r="A964" s="3"/>
      <c r="B964" s="3"/>
      <c r="D964" s="2"/>
    </row>
    <row r="965" spans="1:4" ht="14.25" customHeight="1" x14ac:dyDescent="0.3">
      <c r="A965" s="3"/>
      <c r="B965" s="3"/>
      <c r="D965" s="2"/>
    </row>
    <row r="966" spans="1:4" ht="14.25" customHeight="1" x14ac:dyDescent="0.3">
      <c r="A966" s="3"/>
      <c r="B966" s="3"/>
      <c r="D966" s="2"/>
    </row>
    <row r="967" spans="1:4" ht="14.25" customHeight="1" x14ac:dyDescent="0.3">
      <c r="A967" s="3"/>
      <c r="B967" s="3"/>
      <c r="D967" s="2"/>
    </row>
    <row r="968" spans="1:4" ht="14.25" customHeight="1" x14ac:dyDescent="0.3">
      <c r="A968" s="3"/>
      <c r="B968" s="3"/>
      <c r="D968" s="2"/>
    </row>
    <row r="969" spans="1:4" ht="14.25" customHeight="1" x14ac:dyDescent="0.3">
      <c r="A969" s="3"/>
      <c r="B969" s="3"/>
      <c r="D969" s="2"/>
    </row>
    <row r="970" spans="1:4" ht="14.25" customHeight="1" x14ac:dyDescent="0.3">
      <c r="A970" s="3"/>
      <c r="B970" s="3"/>
      <c r="D970" s="2"/>
    </row>
    <row r="971" spans="1:4" ht="14.25" customHeight="1" x14ac:dyDescent="0.3">
      <c r="A971" s="3"/>
      <c r="B971" s="3"/>
      <c r="D971" s="2"/>
    </row>
    <row r="972" spans="1:4" ht="14.25" customHeight="1" x14ac:dyDescent="0.3">
      <c r="A972" s="3"/>
      <c r="B972" s="3"/>
      <c r="D972" s="2"/>
    </row>
    <row r="973" spans="1:4" ht="14.25" customHeight="1" x14ac:dyDescent="0.3">
      <c r="A973" s="3"/>
      <c r="B973" s="3"/>
      <c r="D973" s="2"/>
    </row>
    <row r="974" spans="1:4" ht="14.25" customHeight="1" x14ac:dyDescent="0.3">
      <c r="A974" s="3"/>
      <c r="B974" s="3"/>
      <c r="D974" s="2"/>
    </row>
    <row r="975" spans="1:4" ht="14.25" customHeight="1" x14ac:dyDescent="0.3">
      <c r="A975" s="3"/>
      <c r="B975" s="3"/>
      <c r="D975" s="2"/>
    </row>
    <row r="976" spans="1:4" ht="14.25" customHeight="1" x14ac:dyDescent="0.3">
      <c r="A976" s="3"/>
      <c r="B976" s="3"/>
      <c r="D976" s="2"/>
    </row>
    <row r="977" spans="1:4" ht="14.25" customHeight="1" x14ac:dyDescent="0.3">
      <c r="A977" s="3"/>
      <c r="B977" s="3"/>
      <c r="D977" s="2"/>
    </row>
    <row r="978" spans="1:4" ht="14.25" customHeight="1" x14ac:dyDescent="0.3">
      <c r="A978" s="3"/>
      <c r="B978" s="3"/>
      <c r="D978" s="2"/>
    </row>
    <row r="979" spans="1:4" ht="14.25" customHeight="1" x14ac:dyDescent="0.3">
      <c r="A979" s="3"/>
      <c r="B979" s="3"/>
      <c r="D979" s="2"/>
    </row>
    <row r="980" spans="1:4" ht="14.25" customHeight="1" x14ac:dyDescent="0.3">
      <c r="A980" s="3"/>
      <c r="B980" s="3"/>
      <c r="D980" s="2"/>
    </row>
    <row r="981" spans="1:4" ht="14.25" customHeight="1" x14ac:dyDescent="0.3">
      <c r="A981" s="3"/>
      <c r="B981" s="3"/>
      <c r="D981" s="2"/>
    </row>
    <row r="982" spans="1:4" ht="14.25" customHeight="1" x14ac:dyDescent="0.3">
      <c r="A982" s="3"/>
      <c r="B982" s="3"/>
      <c r="D982" s="2"/>
    </row>
    <row r="983" spans="1:4" ht="14.25" customHeight="1" x14ac:dyDescent="0.3">
      <c r="A983" s="3"/>
      <c r="B983" s="3"/>
      <c r="D983" s="2"/>
    </row>
    <row r="984" spans="1:4" ht="14.25" customHeight="1" x14ac:dyDescent="0.3">
      <c r="A984" s="3"/>
      <c r="B984" s="3"/>
      <c r="D984" s="2"/>
    </row>
    <row r="985" spans="1:4" ht="14.25" customHeight="1" x14ac:dyDescent="0.3">
      <c r="A985" s="3"/>
      <c r="B985" s="3"/>
      <c r="D985" s="2"/>
    </row>
    <row r="986" spans="1:4" ht="14.25" customHeight="1" x14ac:dyDescent="0.3">
      <c r="A986" s="3"/>
      <c r="B986" s="3"/>
      <c r="D986" s="2"/>
    </row>
    <row r="987" spans="1:4" ht="14.25" customHeight="1" x14ac:dyDescent="0.3">
      <c r="A987" s="3"/>
      <c r="B987" s="3"/>
      <c r="D987" s="2"/>
    </row>
    <row r="988" spans="1:4" ht="14.25" customHeight="1" x14ac:dyDescent="0.3">
      <c r="A988" s="3"/>
      <c r="B988" s="3"/>
      <c r="D988" s="2"/>
    </row>
    <row r="989" spans="1:4" ht="14.25" customHeight="1" x14ac:dyDescent="0.3">
      <c r="A989" s="3"/>
      <c r="B989" s="3"/>
      <c r="D989" s="2"/>
    </row>
    <row r="990" spans="1:4" ht="14.25" customHeight="1" x14ac:dyDescent="0.3">
      <c r="A990" s="3"/>
      <c r="B990" s="3"/>
      <c r="D990" s="2"/>
    </row>
    <row r="991" spans="1:4" ht="14.25" customHeight="1" x14ac:dyDescent="0.3">
      <c r="A991" s="3"/>
      <c r="B991" s="3"/>
      <c r="D991" s="2"/>
    </row>
    <row r="992" spans="1:4" ht="14.25" customHeight="1" x14ac:dyDescent="0.3">
      <c r="A992" s="3"/>
      <c r="B992" s="3"/>
      <c r="D992" s="2"/>
    </row>
    <row r="993" spans="1:4" ht="14.25" customHeight="1" x14ac:dyDescent="0.3">
      <c r="A993" s="3"/>
      <c r="B993" s="3"/>
      <c r="D993" s="2"/>
    </row>
    <row r="994" spans="1:4" ht="14.25" customHeight="1" x14ac:dyDescent="0.3">
      <c r="A994" s="3"/>
      <c r="B994" s="3"/>
      <c r="D994" s="2"/>
    </row>
    <row r="995" spans="1:4" ht="14.25" customHeight="1" x14ac:dyDescent="0.3">
      <c r="A995" s="3"/>
      <c r="B995" s="3"/>
      <c r="D995" s="2"/>
    </row>
    <row r="996" spans="1:4" ht="14.25" customHeight="1" x14ac:dyDescent="0.3">
      <c r="A996" s="3"/>
      <c r="B996" s="3"/>
      <c r="D996" s="2"/>
    </row>
    <row r="997" spans="1:4" ht="14.25" customHeight="1" x14ac:dyDescent="0.3">
      <c r="A997" s="3"/>
      <c r="B997" s="3"/>
      <c r="D997" s="2"/>
    </row>
    <row r="998" spans="1:4" ht="14.25" customHeight="1" x14ac:dyDescent="0.3">
      <c r="A998" s="3"/>
      <c r="B998" s="3"/>
      <c r="D998" s="2"/>
    </row>
    <row r="999" spans="1:4" ht="14.25" customHeight="1" x14ac:dyDescent="0.3">
      <c r="A999" s="3"/>
      <c r="B999" s="3"/>
      <c r="D999" s="2"/>
    </row>
    <row r="1000" spans="1:4" ht="14.25" customHeight="1" x14ac:dyDescent="0.3">
      <c r="A1000" s="3"/>
      <c r="B1000" s="3"/>
      <c r="D1000" s="2"/>
    </row>
  </sheetData>
  <mergeCells count="1"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W114"/>
  <sheetViews>
    <sheetView workbookViewId="0">
      <pane xSplit="2" ySplit="1" topLeftCell="C92" activePane="bottomRight" state="frozen"/>
      <selection pane="topRight" activeCell="C1" sqref="C1"/>
      <selection pane="bottomLeft" activeCell="A2" sqref="A2"/>
      <selection pane="bottomRight" activeCell="B75" sqref="B75"/>
    </sheetView>
  </sheetViews>
  <sheetFormatPr defaultColWidth="14.44140625" defaultRowHeight="15" customHeight="1" x14ac:dyDescent="0.3"/>
  <cols>
    <col min="1" max="1" width="10.5546875" customWidth="1"/>
    <col min="2" max="2" width="29" customWidth="1"/>
    <col min="3" max="17" width="13.33203125" customWidth="1"/>
    <col min="18" max="19" width="14" customWidth="1"/>
  </cols>
  <sheetData>
    <row r="1" spans="1:21" s="72" customFormat="1" x14ac:dyDescent="0.3">
      <c r="A1" s="69" t="s">
        <v>5</v>
      </c>
      <c r="B1" s="69" t="s">
        <v>252</v>
      </c>
      <c r="C1" s="70">
        <v>45946</v>
      </c>
      <c r="D1" s="70">
        <v>45947</v>
      </c>
      <c r="E1" s="70">
        <v>45948</v>
      </c>
      <c r="F1" s="70">
        <v>45949</v>
      </c>
      <c r="G1" s="70">
        <v>45950</v>
      </c>
      <c r="H1" s="70">
        <v>45951</v>
      </c>
      <c r="I1" s="70">
        <v>45952</v>
      </c>
      <c r="J1" s="70">
        <v>45953</v>
      </c>
      <c r="K1" s="70">
        <v>45954</v>
      </c>
      <c r="L1" s="70">
        <v>45955</v>
      </c>
      <c r="M1" s="70">
        <v>45956</v>
      </c>
      <c r="N1" s="70">
        <v>45957</v>
      </c>
      <c r="O1" s="70">
        <v>45958</v>
      </c>
      <c r="P1" s="70">
        <v>45959</v>
      </c>
      <c r="Q1" s="70">
        <v>45960</v>
      </c>
      <c r="R1" s="70">
        <v>45961</v>
      </c>
      <c r="S1" s="71" t="s">
        <v>253</v>
      </c>
    </row>
    <row r="2" spans="1:21" x14ac:dyDescent="0.3">
      <c r="A2" s="14" t="s">
        <v>21</v>
      </c>
      <c r="B2" s="14" t="s">
        <v>22</v>
      </c>
      <c r="C2" s="15">
        <v>8</v>
      </c>
      <c r="D2" s="15">
        <v>8</v>
      </c>
      <c r="E2" s="15"/>
      <c r="F2" s="15"/>
      <c r="G2" s="15">
        <v>8</v>
      </c>
      <c r="H2" s="15">
        <v>8</v>
      </c>
      <c r="I2" s="15">
        <v>8</v>
      </c>
      <c r="J2" s="15">
        <v>8</v>
      </c>
      <c r="K2" s="15">
        <v>8</v>
      </c>
      <c r="L2" s="15"/>
      <c r="M2" s="15"/>
      <c r="N2" s="15">
        <v>8</v>
      </c>
      <c r="O2" s="15">
        <v>8</v>
      </c>
      <c r="P2" s="15">
        <v>8</v>
      </c>
      <c r="Q2" s="15">
        <v>8</v>
      </c>
      <c r="R2" s="16">
        <v>8</v>
      </c>
      <c r="S2" s="17">
        <f t="shared" ref="S2:S9" si="0">SUM(C2:R2)</f>
        <v>96</v>
      </c>
      <c r="T2" s="18"/>
      <c r="U2" s="6"/>
    </row>
    <row r="3" spans="1:21" x14ac:dyDescent="0.3">
      <c r="A3" s="14" t="s">
        <v>24</v>
      </c>
      <c r="B3" s="14" t="s">
        <v>25</v>
      </c>
      <c r="C3" s="15">
        <v>8</v>
      </c>
      <c r="D3" s="15">
        <v>8</v>
      </c>
      <c r="E3" s="15"/>
      <c r="F3" s="15"/>
      <c r="G3" s="15">
        <v>7.9</v>
      </c>
      <c r="H3" s="15">
        <v>8</v>
      </c>
      <c r="I3" s="15">
        <v>7.98</v>
      </c>
      <c r="J3" s="15">
        <v>8</v>
      </c>
      <c r="K3" s="15">
        <v>8</v>
      </c>
      <c r="L3" s="15"/>
      <c r="M3" s="15"/>
      <c r="N3" s="15">
        <v>7.44</v>
      </c>
      <c r="O3" s="15">
        <v>6.91</v>
      </c>
      <c r="P3" s="15">
        <v>7.66</v>
      </c>
      <c r="Q3" s="15">
        <v>8</v>
      </c>
      <c r="R3" s="16">
        <v>6.01</v>
      </c>
      <c r="S3" s="17">
        <f t="shared" si="0"/>
        <v>91.899999999999991</v>
      </c>
      <c r="T3" s="18"/>
      <c r="U3" s="6"/>
    </row>
    <row r="4" spans="1:21" x14ac:dyDescent="0.3">
      <c r="A4" s="14" t="s">
        <v>27</v>
      </c>
      <c r="B4" s="14" t="s">
        <v>28</v>
      </c>
      <c r="C4" s="15">
        <v>8</v>
      </c>
      <c r="D4" s="15">
        <v>8</v>
      </c>
      <c r="E4" s="15"/>
      <c r="F4" s="15"/>
      <c r="G4" s="15">
        <v>8</v>
      </c>
      <c r="H4" s="15">
        <v>7.96</v>
      </c>
      <c r="I4" s="15">
        <v>5.12</v>
      </c>
      <c r="J4" s="15">
        <v>8</v>
      </c>
      <c r="K4" s="15">
        <v>8</v>
      </c>
      <c r="L4" s="15"/>
      <c r="M4" s="15"/>
      <c r="N4" s="15">
        <v>8</v>
      </c>
      <c r="O4" s="15">
        <v>8</v>
      </c>
      <c r="P4" s="15">
        <v>8</v>
      </c>
      <c r="Q4" s="15">
        <v>8</v>
      </c>
      <c r="R4" s="16">
        <v>8</v>
      </c>
      <c r="S4" s="17">
        <f t="shared" si="0"/>
        <v>93.08</v>
      </c>
      <c r="T4" s="18"/>
      <c r="U4" s="6"/>
    </row>
    <row r="5" spans="1:21" x14ac:dyDescent="0.3">
      <c r="A5" s="19" t="s">
        <v>254</v>
      </c>
      <c r="B5" s="14" t="s">
        <v>255</v>
      </c>
      <c r="C5" s="15">
        <v>7.17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6"/>
      <c r="S5" s="17">
        <f t="shared" si="0"/>
        <v>7.17</v>
      </c>
      <c r="T5" s="18"/>
      <c r="U5" s="6"/>
    </row>
    <row r="6" spans="1:21" x14ac:dyDescent="0.3">
      <c r="A6" s="19" t="s">
        <v>30</v>
      </c>
      <c r="B6" s="14" t="s">
        <v>31</v>
      </c>
      <c r="C6" s="15">
        <v>8</v>
      </c>
      <c r="D6" s="15">
        <v>8</v>
      </c>
      <c r="E6" s="15"/>
      <c r="F6" s="15"/>
      <c r="G6" s="15">
        <v>8</v>
      </c>
      <c r="H6" s="15">
        <v>8</v>
      </c>
      <c r="I6" s="15">
        <v>8</v>
      </c>
      <c r="J6" s="15">
        <v>8</v>
      </c>
      <c r="K6" s="15">
        <v>8</v>
      </c>
      <c r="L6" s="15"/>
      <c r="M6" s="15"/>
      <c r="N6" s="15">
        <v>8</v>
      </c>
      <c r="O6" s="15">
        <v>8</v>
      </c>
      <c r="P6" s="15">
        <v>8</v>
      </c>
      <c r="Q6" s="15">
        <v>8</v>
      </c>
      <c r="R6" s="16">
        <v>8</v>
      </c>
      <c r="S6" s="17">
        <f t="shared" si="0"/>
        <v>96</v>
      </c>
      <c r="T6" s="18"/>
      <c r="U6" s="6"/>
    </row>
    <row r="7" spans="1:21" x14ac:dyDescent="0.3">
      <c r="A7" s="14" t="s">
        <v>33</v>
      </c>
      <c r="B7" s="14" t="s">
        <v>34</v>
      </c>
      <c r="C7" s="15">
        <v>8</v>
      </c>
      <c r="D7" s="15">
        <v>8</v>
      </c>
      <c r="E7" s="15"/>
      <c r="F7" s="15"/>
      <c r="G7" s="15">
        <v>8</v>
      </c>
      <c r="H7" s="15">
        <v>8</v>
      </c>
      <c r="I7" s="15">
        <v>8</v>
      </c>
      <c r="J7" s="15">
        <v>8</v>
      </c>
      <c r="K7" s="15">
        <v>8</v>
      </c>
      <c r="L7" s="15"/>
      <c r="M7" s="15"/>
      <c r="N7" s="15">
        <v>8</v>
      </c>
      <c r="O7" s="15">
        <v>8</v>
      </c>
      <c r="P7" s="15">
        <v>8</v>
      </c>
      <c r="Q7" s="15">
        <v>8</v>
      </c>
      <c r="R7" s="16">
        <v>8</v>
      </c>
      <c r="S7" s="17">
        <f t="shared" si="0"/>
        <v>96</v>
      </c>
      <c r="T7" s="18"/>
      <c r="U7" s="6"/>
    </row>
    <row r="8" spans="1:21" x14ac:dyDescent="0.3">
      <c r="A8" s="14" t="s">
        <v>35</v>
      </c>
      <c r="B8" s="14" t="s">
        <v>36</v>
      </c>
      <c r="C8" s="15">
        <v>8</v>
      </c>
      <c r="D8" s="15">
        <v>8</v>
      </c>
      <c r="E8" s="15"/>
      <c r="F8" s="15"/>
      <c r="G8" s="15"/>
      <c r="H8" s="15">
        <v>8</v>
      </c>
      <c r="I8" s="15">
        <v>8</v>
      </c>
      <c r="J8" s="15">
        <v>8</v>
      </c>
      <c r="K8" s="15">
        <v>8</v>
      </c>
      <c r="L8" s="15"/>
      <c r="M8" s="15"/>
      <c r="N8" s="15">
        <v>8</v>
      </c>
      <c r="O8" s="15">
        <v>8</v>
      </c>
      <c r="P8" s="15">
        <v>8</v>
      </c>
      <c r="Q8" s="15">
        <v>8</v>
      </c>
      <c r="R8" s="16">
        <v>8</v>
      </c>
      <c r="S8" s="17">
        <f t="shared" si="0"/>
        <v>88</v>
      </c>
      <c r="T8" s="18"/>
      <c r="U8" s="6"/>
    </row>
    <row r="9" spans="1:21" x14ac:dyDescent="0.3">
      <c r="A9" s="14" t="s">
        <v>37</v>
      </c>
      <c r="B9" s="14" t="s">
        <v>38</v>
      </c>
      <c r="C9" s="15">
        <v>8</v>
      </c>
      <c r="D9" s="15">
        <v>7.98</v>
      </c>
      <c r="E9" s="15">
        <v>5.5</v>
      </c>
      <c r="F9" s="15"/>
      <c r="G9" s="15">
        <v>8</v>
      </c>
      <c r="H9" s="15">
        <v>8</v>
      </c>
      <c r="I9" s="15">
        <v>8</v>
      </c>
      <c r="J9" s="15">
        <v>8</v>
      </c>
      <c r="K9" s="15">
        <v>7.98</v>
      </c>
      <c r="L9" s="15"/>
      <c r="M9" s="15"/>
      <c r="N9" s="15">
        <v>8</v>
      </c>
      <c r="O9" s="15">
        <v>8</v>
      </c>
      <c r="P9" s="15">
        <v>8</v>
      </c>
      <c r="Q9" s="15">
        <v>8</v>
      </c>
      <c r="R9" s="16">
        <v>8</v>
      </c>
      <c r="S9" s="17">
        <f t="shared" si="0"/>
        <v>101.46000000000001</v>
      </c>
      <c r="T9" s="18"/>
      <c r="U9" s="6"/>
    </row>
    <row r="10" spans="1:21" x14ac:dyDescent="0.3">
      <c r="A10" s="14" t="s">
        <v>231</v>
      </c>
      <c r="B10" s="14" t="s">
        <v>232</v>
      </c>
      <c r="C10" s="15">
        <v>8</v>
      </c>
      <c r="D10" s="15">
        <v>8</v>
      </c>
      <c r="E10" s="15"/>
      <c r="F10" s="15"/>
      <c r="G10" s="15">
        <v>8</v>
      </c>
      <c r="H10" s="15">
        <v>5.67</v>
      </c>
      <c r="I10" s="15">
        <v>8</v>
      </c>
      <c r="J10" s="15">
        <v>8</v>
      </c>
      <c r="K10" s="15">
        <v>8</v>
      </c>
      <c r="L10" s="15"/>
      <c r="M10" s="15"/>
      <c r="N10" s="15">
        <v>8</v>
      </c>
      <c r="O10" s="15"/>
      <c r="P10" s="15">
        <v>8</v>
      </c>
      <c r="Q10" s="15">
        <v>8</v>
      </c>
      <c r="R10" s="16">
        <v>8</v>
      </c>
      <c r="S10" s="17">
        <f t="shared" ref="S10:S11" si="1">SUM(C10:R10)-R10-D10</f>
        <v>69.67</v>
      </c>
      <c r="T10" s="18"/>
      <c r="U10" s="6"/>
    </row>
    <row r="11" spans="1:21" x14ac:dyDescent="0.3">
      <c r="A11" s="14" t="s">
        <v>235</v>
      </c>
      <c r="B11" s="14" t="s">
        <v>236</v>
      </c>
      <c r="C11" s="15">
        <v>8</v>
      </c>
      <c r="D11" s="15">
        <v>7.99</v>
      </c>
      <c r="E11" s="15"/>
      <c r="F11" s="15"/>
      <c r="G11" s="15">
        <v>7.45</v>
      </c>
      <c r="H11" s="15">
        <v>8</v>
      </c>
      <c r="I11" s="15">
        <v>7.62</v>
      </c>
      <c r="J11" s="15">
        <v>7.39</v>
      </c>
      <c r="K11" s="15">
        <v>7.03</v>
      </c>
      <c r="L11" s="15"/>
      <c r="M11" s="15"/>
      <c r="N11" s="15">
        <v>7.72</v>
      </c>
      <c r="O11" s="15">
        <v>8</v>
      </c>
      <c r="P11" s="15">
        <v>7.5</v>
      </c>
      <c r="Q11" s="15">
        <v>6.8</v>
      </c>
      <c r="R11" s="16">
        <v>8</v>
      </c>
      <c r="S11" s="17">
        <f t="shared" si="1"/>
        <v>75.510000000000005</v>
      </c>
      <c r="T11" s="18"/>
      <c r="U11" s="6"/>
    </row>
    <row r="12" spans="1:21" x14ac:dyDescent="0.3">
      <c r="A12" s="14" t="s">
        <v>39</v>
      </c>
      <c r="B12" s="14" t="s">
        <v>40</v>
      </c>
      <c r="C12" s="15">
        <v>8</v>
      </c>
      <c r="D12" s="15">
        <v>8</v>
      </c>
      <c r="E12" s="15"/>
      <c r="F12" s="15"/>
      <c r="G12" s="15">
        <v>8</v>
      </c>
      <c r="H12" s="15">
        <v>8</v>
      </c>
      <c r="I12" s="15">
        <v>8</v>
      </c>
      <c r="J12" s="15">
        <v>8</v>
      </c>
      <c r="K12" s="15">
        <v>8</v>
      </c>
      <c r="L12" s="15"/>
      <c r="M12" s="15"/>
      <c r="N12" s="15">
        <v>8</v>
      </c>
      <c r="O12" s="15">
        <v>8</v>
      </c>
      <c r="P12" s="15">
        <v>8</v>
      </c>
      <c r="Q12" s="15">
        <v>8</v>
      </c>
      <c r="R12" s="16">
        <v>8</v>
      </c>
      <c r="S12" s="17">
        <f t="shared" ref="S12:S36" si="2">SUM(C12:R12)</f>
        <v>96</v>
      </c>
      <c r="T12" s="18"/>
      <c r="U12" s="6"/>
    </row>
    <row r="13" spans="1:21" x14ac:dyDescent="0.3">
      <c r="A13" s="14" t="s">
        <v>41</v>
      </c>
      <c r="B13" s="14" t="s">
        <v>42</v>
      </c>
      <c r="C13" s="15"/>
      <c r="D13" s="15">
        <v>8</v>
      </c>
      <c r="E13" s="15"/>
      <c r="F13" s="15"/>
      <c r="G13" s="15"/>
      <c r="H13" s="15">
        <v>8</v>
      </c>
      <c r="I13" s="15">
        <v>8</v>
      </c>
      <c r="J13" s="15">
        <v>8</v>
      </c>
      <c r="K13" s="15">
        <v>8</v>
      </c>
      <c r="L13" s="15"/>
      <c r="M13" s="15"/>
      <c r="N13" s="15">
        <v>8</v>
      </c>
      <c r="O13" s="15"/>
      <c r="P13" s="15"/>
      <c r="Q13" s="15">
        <v>8</v>
      </c>
      <c r="R13" s="16">
        <v>7.9</v>
      </c>
      <c r="S13" s="17">
        <f t="shared" si="2"/>
        <v>63.9</v>
      </c>
      <c r="T13" s="18"/>
      <c r="U13" s="6"/>
    </row>
    <row r="14" spans="1:21" x14ac:dyDescent="0.3">
      <c r="A14" s="14" t="s">
        <v>43</v>
      </c>
      <c r="B14" s="14" t="s">
        <v>44</v>
      </c>
      <c r="C14" s="15">
        <v>8</v>
      </c>
      <c r="D14" s="15">
        <v>8</v>
      </c>
      <c r="E14" s="15"/>
      <c r="F14" s="15"/>
      <c r="G14" s="15">
        <v>8</v>
      </c>
      <c r="H14" s="15">
        <v>8</v>
      </c>
      <c r="I14" s="15">
        <v>8</v>
      </c>
      <c r="J14" s="15">
        <v>8</v>
      </c>
      <c r="K14" s="15">
        <v>8</v>
      </c>
      <c r="L14" s="15"/>
      <c r="M14" s="15"/>
      <c r="N14" s="15">
        <v>8</v>
      </c>
      <c r="O14" s="15">
        <v>8</v>
      </c>
      <c r="P14" s="15">
        <v>8</v>
      </c>
      <c r="Q14" s="15">
        <v>8</v>
      </c>
      <c r="R14" s="16">
        <v>8</v>
      </c>
      <c r="S14" s="17">
        <f t="shared" si="2"/>
        <v>96</v>
      </c>
      <c r="T14" s="18"/>
      <c r="U14" s="6"/>
    </row>
    <row r="15" spans="1:21" x14ac:dyDescent="0.3">
      <c r="A15" s="19" t="s">
        <v>45</v>
      </c>
      <c r="B15" s="14" t="s">
        <v>46</v>
      </c>
      <c r="C15" s="15">
        <v>8</v>
      </c>
      <c r="D15" s="15">
        <v>8</v>
      </c>
      <c r="E15" s="15"/>
      <c r="F15" s="15"/>
      <c r="G15" s="15">
        <v>8</v>
      </c>
      <c r="H15" s="15">
        <v>8</v>
      </c>
      <c r="I15" s="15">
        <v>8</v>
      </c>
      <c r="J15" s="15">
        <v>8</v>
      </c>
      <c r="K15" s="15">
        <v>8</v>
      </c>
      <c r="L15" s="15"/>
      <c r="M15" s="15"/>
      <c r="N15" s="15"/>
      <c r="O15" s="15">
        <v>8</v>
      </c>
      <c r="P15" s="15">
        <v>8</v>
      </c>
      <c r="Q15" s="15">
        <v>8</v>
      </c>
      <c r="R15" s="16">
        <v>8</v>
      </c>
      <c r="S15" s="17">
        <f t="shared" si="2"/>
        <v>88</v>
      </c>
      <c r="T15" s="18"/>
      <c r="U15" s="6"/>
    </row>
    <row r="16" spans="1:21" x14ac:dyDescent="0.3">
      <c r="A16" s="14" t="s">
        <v>47</v>
      </c>
      <c r="B16" s="14" t="s">
        <v>48</v>
      </c>
      <c r="C16" s="15">
        <v>8</v>
      </c>
      <c r="D16" s="15">
        <v>8</v>
      </c>
      <c r="E16" s="15"/>
      <c r="F16" s="15"/>
      <c r="G16" s="15">
        <v>8</v>
      </c>
      <c r="H16" s="15">
        <v>8</v>
      </c>
      <c r="I16" s="15">
        <v>8</v>
      </c>
      <c r="J16" s="15">
        <v>8</v>
      </c>
      <c r="K16" s="15">
        <v>8</v>
      </c>
      <c r="L16" s="15"/>
      <c r="M16" s="15"/>
      <c r="N16" s="15">
        <v>8</v>
      </c>
      <c r="O16" s="15">
        <v>8</v>
      </c>
      <c r="P16" s="15">
        <v>8</v>
      </c>
      <c r="Q16" s="15">
        <v>8</v>
      </c>
      <c r="R16" s="16">
        <v>8</v>
      </c>
      <c r="S16" s="17">
        <f t="shared" si="2"/>
        <v>96</v>
      </c>
      <c r="T16" s="18"/>
      <c r="U16" s="6"/>
    </row>
    <row r="17" spans="1:21" x14ac:dyDescent="0.3">
      <c r="A17" s="14" t="s">
        <v>49</v>
      </c>
      <c r="B17" s="14" t="s">
        <v>50</v>
      </c>
      <c r="C17" s="15">
        <v>8</v>
      </c>
      <c r="D17" s="15"/>
      <c r="E17" s="15"/>
      <c r="F17" s="15">
        <v>8</v>
      </c>
      <c r="G17" s="15">
        <v>8</v>
      </c>
      <c r="H17" s="15">
        <v>8</v>
      </c>
      <c r="I17" s="15">
        <v>8</v>
      </c>
      <c r="J17" s="15">
        <v>8</v>
      </c>
      <c r="K17" s="15">
        <v>8</v>
      </c>
      <c r="L17" s="15"/>
      <c r="M17" s="15"/>
      <c r="N17" s="15">
        <v>8</v>
      </c>
      <c r="O17" s="15">
        <v>8</v>
      </c>
      <c r="P17" s="15">
        <v>8</v>
      </c>
      <c r="Q17" s="15"/>
      <c r="R17" s="16"/>
      <c r="S17" s="17">
        <f t="shared" si="2"/>
        <v>80</v>
      </c>
      <c r="T17" s="18"/>
      <c r="U17" s="6"/>
    </row>
    <row r="18" spans="1:21" x14ac:dyDescent="0.3">
      <c r="A18" s="14" t="s">
        <v>51</v>
      </c>
      <c r="B18" s="14" t="s">
        <v>52</v>
      </c>
      <c r="C18" s="15">
        <v>8</v>
      </c>
      <c r="D18" s="15">
        <v>8</v>
      </c>
      <c r="E18" s="15"/>
      <c r="F18" s="15"/>
      <c r="G18" s="15">
        <v>8</v>
      </c>
      <c r="H18" s="15">
        <v>8</v>
      </c>
      <c r="I18" s="15">
        <v>8</v>
      </c>
      <c r="J18" s="15">
        <v>8</v>
      </c>
      <c r="K18" s="15">
        <v>8</v>
      </c>
      <c r="L18" s="15"/>
      <c r="M18" s="15"/>
      <c r="N18" s="15"/>
      <c r="O18" s="15">
        <v>8</v>
      </c>
      <c r="P18" s="15">
        <v>8</v>
      </c>
      <c r="Q18" s="15">
        <v>8</v>
      </c>
      <c r="R18" s="16">
        <v>8</v>
      </c>
      <c r="S18" s="17">
        <f t="shared" si="2"/>
        <v>88</v>
      </c>
      <c r="T18" s="18"/>
      <c r="U18" s="6"/>
    </row>
    <row r="19" spans="1:21" x14ac:dyDescent="0.3">
      <c r="A19" s="14" t="s">
        <v>53</v>
      </c>
      <c r="B19" s="14" t="s">
        <v>54</v>
      </c>
      <c r="C19" s="15">
        <v>8</v>
      </c>
      <c r="D19" s="15">
        <v>8</v>
      </c>
      <c r="E19" s="15"/>
      <c r="F19" s="15"/>
      <c r="G19" s="15">
        <v>8</v>
      </c>
      <c r="H19" s="15">
        <v>8</v>
      </c>
      <c r="I19" s="15">
        <v>8</v>
      </c>
      <c r="J19" s="15">
        <v>8</v>
      </c>
      <c r="K19" s="15">
        <v>8</v>
      </c>
      <c r="L19" s="15"/>
      <c r="M19" s="15"/>
      <c r="N19" s="15">
        <v>8</v>
      </c>
      <c r="O19" s="15">
        <v>8</v>
      </c>
      <c r="P19" s="15">
        <v>8</v>
      </c>
      <c r="Q19" s="15">
        <v>8</v>
      </c>
      <c r="R19" s="16">
        <v>8</v>
      </c>
      <c r="S19" s="17">
        <f t="shared" si="2"/>
        <v>96</v>
      </c>
      <c r="T19" s="18"/>
      <c r="U19" s="6"/>
    </row>
    <row r="20" spans="1:21" x14ac:dyDescent="0.3">
      <c r="A20" s="14" t="s">
        <v>55</v>
      </c>
      <c r="B20" s="14" t="s">
        <v>256</v>
      </c>
      <c r="C20" s="15">
        <v>8</v>
      </c>
      <c r="D20" s="15">
        <v>8</v>
      </c>
      <c r="E20" s="15"/>
      <c r="F20" s="15"/>
      <c r="G20" s="15">
        <v>8</v>
      </c>
      <c r="H20" s="15">
        <v>8</v>
      </c>
      <c r="I20" s="15">
        <v>8</v>
      </c>
      <c r="J20" s="15">
        <v>8</v>
      </c>
      <c r="K20" s="15">
        <v>8</v>
      </c>
      <c r="L20" s="15"/>
      <c r="M20" s="15"/>
      <c r="N20" s="15">
        <v>8</v>
      </c>
      <c r="O20" s="15">
        <v>3.89</v>
      </c>
      <c r="P20" s="15">
        <v>8</v>
      </c>
      <c r="Q20" s="15">
        <v>8</v>
      </c>
      <c r="R20" s="16">
        <v>8</v>
      </c>
      <c r="S20" s="17">
        <f t="shared" si="2"/>
        <v>91.89</v>
      </c>
      <c r="T20" s="18"/>
      <c r="U20" s="6"/>
    </row>
    <row r="21" spans="1:21" x14ac:dyDescent="0.3">
      <c r="A21" s="14" t="s">
        <v>57</v>
      </c>
      <c r="B21" s="14" t="s">
        <v>58</v>
      </c>
      <c r="C21" s="15">
        <v>7.89</v>
      </c>
      <c r="D21" s="15">
        <v>8</v>
      </c>
      <c r="E21" s="15"/>
      <c r="F21" s="15"/>
      <c r="G21" s="15">
        <v>8</v>
      </c>
      <c r="H21" s="15">
        <v>8</v>
      </c>
      <c r="I21" s="15">
        <v>8</v>
      </c>
      <c r="J21" s="15">
        <v>8</v>
      </c>
      <c r="K21" s="15">
        <v>8</v>
      </c>
      <c r="L21" s="15"/>
      <c r="M21" s="15"/>
      <c r="N21" s="15">
        <v>8</v>
      </c>
      <c r="O21" s="15">
        <v>8</v>
      </c>
      <c r="P21" s="15">
        <v>7.97</v>
      </c>
      <c r="Q21" s="15">
        <v>8</v>
      </c>
      <c r="R21" s="16">
        <v>7.88</v>
      </c>
      <c r="S21" s="17">
        <f t="shared" si="2"/>
        <v>95.74</v>
      </c>
      <c r="T21" s="18"/>
      <c r="U21" s="6"/>
    </row>
    <row r="22" spans="1:21" x14ac:dyDescent="0.3">
      <c r="A22" s="14" t="s">
        <v>59</v>
      </c>
      <c r="B22" s="14" t="s">
        <v>60</v>
      </c>
      <c r="C22" s="15">
        <v>8</v>
      </c>
      <c r="D22" s="15">
        <v>8</v>
      </c>
      <c r="E22" s="15"/>
      <c r="F22" s="15"/>
      <c r="G22" s="15">
        <v>8</v>
      </c>
      <c r="H22" s="15">
        <v>8</v>
      </c>
      <c r="I22" s="15">
        <v>8</v>
      </c>
      <c r="J22" s="15">
        <v>8</v>
      </c>
      <c r="K22" s="15">
        <v>8</v>
      </c>
      <c r="L22" s="15"/>
      <c r="M22" s="15"/>
      <c r="N22" s="15">
        <v>8</v>
      </c>
      <c r="O22" s="15">
        <v>8</v>
      </c>
      <c r="P22" s="15">
        <v>8</v>
      </c>
      <c r="Q22" s="15">
        <v>8</v>
      </c>
      <c r="R22" s="16">
        <v>8</v>
      </c>
      <c r="S22" s="17">
        <f t="shared" si="2"/>
        <v>96</v>
      </c>
      <c r="T22" s="18"/>
      <c r="U22" s="6"/>
    </row>
    <row r="23" spans="1:21" x14ac:dyDescent="0.3">
      <c r="A23" s="14" t="s">
        <v>61</v>
      </c>
      <c r="B23" s="14" t="s">
        <v>62</v>
      </c>
      <c r="C23" s="15">
        <v>8</v>
      </c>
      <c r="D23" s="15">
        <v>8</v>
      </c>
      <c r="E23" s="15"/>
      <c r="F23" s="15"/>
      <c r="G23" s="15">
        <v>8</v>
      </c>
      <c r="H23" s="15">
        <v>8</v>
      </c>
      <c r="I23" s="15">
        <v>8</v>
      </c>
      <c r="J23" s="15">
        <v>8</v>
      </c>
      <c r="K23" s="15">
        <v>8</v>
      </c>
      <c r="L23" s="15"/>
      <c r="M23" s="15"/>
      <c r="N23" s="15">
        <v>8</v>
      </c>
      <c r="O23" s="15">
        <v>8</v>
      </c>
      <c r="P23" s="15">
        <v>8</v>
      </c>
      <c r="Q23" s="15">
        <v>8</v>
      </c>
      <c r="R23" s="16">
        <v>8</v>
      </c>
      <c r="S23" s="17">
        <f t="shared" si="2"/>
        <v>96</v>
      </c>
      <c r="T23" s="18"/>
      <c r="U23" s="6"/>
    </row>
    <row r="24" spans="1:21" x14ac:dyDescent="0.3">
      <c r="A24" s="19" t="s">
        <v>63</v>
      </c>
      <c r="B24" s="14" t="s">
        <v>64</v>
      </c>
      <c r="C24" s="15">
        <v>8</v>
      </c>
      <c r="D24" s="15">
        <v>8</v>
      </c>
      <c r="E24" s="15"/>
      <c r="F24" s="15"/>
      <c r="G24" s="15">
        <v>8</v>
      </c>
      <c r="H24" s="15">
        <v>8</v>
      </c>
      <c r="I24" s="15">
        <v>8</v>
      </c>
      <c r="J24" s="15"/>
      <c r="K24" s="15"/>
      <c r="L24" s="15"/>
      <c r="M24" s="15">
        <v>8</v>
      </c>
      <c r="N24" s="15">
        <v>8</v>
      </c>
      <c r="O24" s="15">
        <v>8</v>
      </c>
      <c r="P24" s="15">
        <v>8</v>
      </c>
      <c r="Q24" s="15"/>
      <c r="R24" s="16"/>
      <c r="S24" s="17">
        <f t="shared" si="2"/>
        <v>72</v>
      </c>
      <c r="T24" s="18"/>
      <c r="U24" s="6"/>
    </row>
    <row r="25" spans="1:21" x14ac:dyDescent="0.3">
      <c r="A25" s="14" t="s">
        <v>65</v>
      </c>
      <c r="B25" s="14" t="s">
        <v>66</v>
      </c>
      <c r="C25" s="15">
        <v>8</v>
      </c>
      <c r="D25" s="15">
        <v>8</v>
      </c>
      <c r="E25" s="15"/>
      <c r="F25" s="15"/>
      <c r="G25" s="15">
        <v>8</v>
      </c>
      <c r="H25" s="15">
        <v>8</v>
      </c>
      <c r="I25" s="15">
        <v>8</v>
      </c>
      <c r="J25" s="15">
        <v>0</v>
      </c>
      <c r="K25" s="15">
        <v>8</v>
      </c>
      <c r="L25" s="15"/>
      <c r="M25" s="15"/>
      <c r="N25" s="15">
        <v>8</v>
      </c>
      <c r="O25" s="15">
        <v>8</v>
      </c>
      <c r="P25" s="15">
        <v>8</v>
      </c>
      <c r="Q25" s="15">
        <v>8</v>
      </c>
      <c r="R25" s="16">
        <v>8</v>
      </c>
      <c r="S25" s="17">
        <f t="shared" si="2"/>
        <v>88</v>
      </c>
      <c r="T25" s="18"/>
      <c r="U25" s="6"/>
    </row>
    <row r="26" spans="1:21" x14ac:dyDescent="0.3">
      <c r="A26" s="14" t="s">
        <v>67</v>
      </c>
      <c r="B26" s="14" t="s">
        <v>68</v>
      </c>
      <c r="C26" s="15">
        <v>8</v>
      </c>
      <c r="D26" s="15">
        <v>8</v>
      </c>
      <c r="E26" s="15"/>
      <c r="F26" s="15"/>
      <c r="G26" s="15">
        <v>8</v>
      </c>
      <c r="H26" s="15">
        <v>8</v>
      </c>
      <c r="I26" s="15">
        <v>8</v>
      </c>
      <c r="J26" s="15">
        <v>8</v>
      </c>
      <c r="K26" s="15">
        <v>8</v>
      </c>
      <c r="L26" s="15"/>
      <c r="M26" s="15"/>
      <c r="N26" s="15">
        <v>8</v>
      </c>
      <c r="O26" s="15">
        <v>8</v>
      </c>
      <c r="P26" s="15">
        <v>8</v>
      </c>
      <c r="Q26" s="15">
        <v>8</v>
      </c>
      <c r="R26" s="16">
        <v>8</v>
      </c>
      <c r="S26" s="17">
        <f t="shared" si="2"/>
        <v>96</v>
      </c>
      <c r="T26" s="18"/>
      <c r="U26" s="6"/>
    </row>
    <row r="27" spans="1:21" x14ac:dyDescent="0.3">
      <c r="A27" s="14" t="s">
        <v>69</v>
      </c>
      <c r="B27" s="14" t="s">
        <v>70</v>
      </c>
      <c r="C27" s="15">
        <v>8</v>
      </c>
      <c r="D27" s="15">
        <v>8</v>
      </c>
      <c r="E27" s="15"/>
      <c r="F27" s="15"/>
      <c r="G27" s="15">
        <v>8</v>
      </c>
      <c r="H27" s="15">
        <v>8</v>
      </c>
      <c r="I27" s="15">
        <v>8</v>
      </c>
      <c r="J27" s="15">
        <v>8</v>
      </c>
      <c r="K27" s="15">
        <v>8</v>
      </c>
      <c r="L27" s="15"/>
      <c r="M27" s="15"/>
      <c r="N27" s="15">
        <v>8</v>
      </c>
      <c r="O27" s="15">
        <v>8</v>
      </c>
      <c r="P27" s="15">
        <v>8</v>
      </c>
      <c r="Q27" s="15">
        <v>8</v>
      </c>
      <c r="R27" s="16">
        <v>8</v>
      </c>
      <c r="S27" s="17">
        <f t="shared" si="2"/>
        <v>96</v>
      </c>
      <c r="T27" s="18"/>
      <c r="U27" s="6"/>
    </row>
    <row r="28" spans="1:21" x14ac:dyDescent="0.3">
      <c r="A28" s="14" t="s">
        <v>71</v>
      </c>
      <c r="B28" s="14" t="s">
        <v>257</v>
      </c>
      <c r="C28" s="15">
        <v>8</v>
      </c>
      <c r="D28" s="15">
        <v>8</v>
      </c>
      <c r="E28" s="15"/>
      <c r="F28" s="15"/>
      <c r="G28" s="15">
        <v>8</v>
      </c>
      <c r="H28" s="15">
        <v>7.92</v>
      </c>
      <c r="I28" s="15">
        <v>8</v>
      </c>
      <c r="J28" s="15">
        <v>8</v>
      </c>
      <c r="K28" s="15">
        <v>8</v>
      </c>
      <c r="L28" s="15"/>
      <c r="M28" s="15"/>
      <c r="N28" s="15">
        <v>8</v>
      </c>
      <c r="O28" s="15">
        <v>8</v>
      </c>
      <c r="P28" s="15">
        <v>6.9</v>
      </c>
      <c r="Q28" s="15">
        <v>7.49</v>
      </c>
      <c r="R28" s="16">
        <v>7.57</v>
      </c>
      <c r="S28" s="17">
        <f t="shared" si="2"/>
        <v>93.88</v>
      </c>
      <c r="T28" s="18"/>
      <c r="U28" s="6"/>
    </row>
    <row r="29" spans="1:21" x14ac:dyDescent="0.3">
      <c r="A29" s="14" t="s">
        <v>73</v>
      </c>
      <c r="B29" s="14" t="s">
        <v>74</v>
      </c>
      <c r="C29" s="15">
        <v>8</v>
      </c>
      <c r="D29" s="15">
        <v>8</v>
      </c>
      <c r="E29" s="15"/>
      <c r="F29" s="15"/>
      <c r="G29" s="15">
        <v>8</v>
      </c>
      <c r="H29" s="15">
        <v>8</v>
      </c>
      <c r="I29" s="15">
        <v>8</v>
      </c>
      <c r="J29" s="15">
        <v>8</v>
      </c>
      <c r="K29" s="15">
        <v>8</v>
      </c>
      <c r="L29" s="15"/>
      <c r="M29" s="15"/>
      <c r="N29" s="15">
        <v>8</v>
      </c>
      <c r="O29" s="15">
        <v>8</v>
      </c>
      <c r="P29" s="15">
        <v>8</v>
      </c>
      <c r="Q29" s="15">
        <v>8</v>
      </c>
      <c r="R29" s="16">
        <v>8</v>
      </c>
      <c r="S29" s="17">
        <f t="shared" si="2"/>
        <v>96</v>
      </c>
      <c r="T29" s="18"/>
      <c r="U29" s="6"/>
    </row>
    <row r="30" spans="1:21" x14ac:dyDescent="0.3">
      <c r="A30" s="14" t="s">
        <v>75</v>
      </c>
      <c r="B30" s="14" t="s">
        <v>76</v>
      </c>
      <c r="C30" s="15">
        <v>8</v>
      </c>
      <c r="D30" s="15">
        <v>8</v>
      </c>
      <c r="E30" s="15"/>
      <c r="F30" s="15"/>
      <c r="G30" s="15">
        <v>8</v>
      </c>
      <c r="H30" s="15">
        <v>8</v>
      </c>
      <c r="I30" s="15">
        <v>8</v>
      </c>
      <c r="J30" s="15">
        <v>8</v>
      </c>
      <c r="K30" s="15"/>
      <c r="L30" s="15"/>
      <c r="M30" s="15"/>
      <c r="N30" s="15">
        <v>8</v>
      </c>
      <c r="O30" s="15">
        <v>8</v>
      </c>
      <c r="P30" s="15">
        <v>8</v>
      </c>
      <c r="Q30" s="15">
        <v>8</v>
      </c>
      <c r="R30" s="16">
        <v>8</v>
      </c>
      <c r="S30" s="17">
        <f t="shared" si="2"/>
        <v>88</v>
      </c>
      <c r="T30" s="18"/>
      <c r="U30" s="6"/>
    </row>
    <row r="31" spans="1:21" x14ac:dyDescent="0.3">
      <c r="A31" s="14" t="s">
        <v>77</v>
      </c>
      <c r="B31" s="14" t="s">
        <v>78</v>
      </c>
      <c r="C31" s="15">
        <v>8</v>
      </c>
      <c r="D31" s="15">
        <v>8</v>
      </c>
      <c r="E31" s="15"/>
      <c r="F31" s="15"/>
      <c r="G31" s="15">
        <v>8</v>
      </c>
      <c r="H31" s="15">
        <v>8</v>
      </c>
      <c r="I31" s="15">
        <v>8</v>
      </c>
      <c r="J31" s="15">
        <v>8</v>
      </c>
      <c r="K31" s="15">
        <v>8</v>
      </c>
      <c r="L31" s="15"/>
      <c r="M31" s="15"/>
      <c r="N31" s="15">
        <v>8</v>
      </c>
      <c r="O31" s="15">
        <v>8</v>
      </c>
      <c r="P31" s="15">
        <v>8</v>
      </c>
      <c r="Q31" s="15">
        <v>8</v>
      </c>
      <c r="R31" s="16">
        <v>8</v>
      </c>
      <c r="S31" s="17">
        <f t="shared" si="2"/>
        <v>96</v>
      </c>
      <c r="T31" s="18"/>
      <c r="U31" s="6"/>
    </row>
    <row r="32" spans="1:21" x14ac:dyDescent="0.3">
      <c r="A32" s="14" t="s">
        <v>79</v>
      </c>
      <c r="B32" s="14" t="s">
        <v>80</v>
      </c>
      <c r="C32" s="15">
        <v>8</v>
      </c>
      <c r="D32" s="15">
        <v>8</v>
      </c>
      <c r="E32" s="15"/>
      <c r="F32" s="15"/>
      <c r="G32" s="15">
        <v>8</v>
      </c>
      <c r="H32" s="15">
        <v>8</v>
      </c>
      <c r="I32" s="15">
        <v>8</v>
      </c>
      <c r="J32" s="15">
        <v>8</v>
      </c>
      <c r="K32" s="15">
        <v>8</v>
      </c>
      <c r="L32" s="15"/>
      <c r="M32" s="15"/>
      <c r="N32" s="15">
        <v>8</v>
      </c>
      <c r="O32" s="15">
        <v>8</v>
      </c>
      <c r="P32" s="15">
        <v>8</v>
      </c>
      <c r="Q32" s="15">
        <v>8</v>
      </c>
      <c r="R32" s="16">
        <v>8</v>
      </c>
      <c r="S32" s="17">
        <f t="shared" si="2"/>
        <v>96</v>
      </c>
      <c r="T32" s="18"/>
      <c r="U32" s="6"/>
    </row>
    <row r="33" spans="1:21" x14ac:dyDescent="0.3">
      <c r="A33" s="14" t="s">
        <v>81</v>
      </c>
      <c r="B33" s="14" t="s">
        <v>82</v>
      </c>
      <c r="C33" s="15">
        <v>8</v>
      </c>
      <c r="D33" s="15">
        <v>8</v>
      </c>
      <c r="E33" s="15"/>
      <c r="F33" s="15"/>
      <c r="G33" s="15">
        <v>8</v>
      </c>
      <c r="H33" s="15">
        <v>8</v>
      </c>
      <c r="I33" s="15">
        <v>8</v>
      </c>
      <c r="J33" s="15">
        <v>8</v>
      </c>
      <c r="K33" s="15">
        <v>8</v>
      </c>
      <c r="L33" s="15"/>
      <c r="M33" s="15"/>
      <c r="N33" s="15">
        <v>8</v>
      </c>
      <c r="O33" s="15">
        <v>8</v>
      </c>
      <c r="P33" s="15">
        <v>8</v>
      </c>
      <c r="Q33" s="15">
        <v>8</v>
      </c>
      <c r="R33" s="16">
        <v>8</v>
      </c>
      <c r="S33" s="17">
        <f t="shared" si="2"/>
        <v>96</v>
      </c>
      <c r="T33" s="18"/>
      <c r="U33" s="6"/>
    </row>
    <row r="34" spans="1:21" x14ac:dyDescent="0.3">
      <c r="A34" s="14" t="s">
        <v>83</v>
      </c>
      <c r="B34" s="14" t="s">
        <v>84</v>
      </c>
      <c r="C34" s="15">
        <v>8</v>
      </c>
      <c r="D34" s="15">
        <v>8</v>
      </c>
      <c r="E34" s="15"/>
      <c r="F34" s="15"/>
      <c r="G34" s="15">
        <v>8</v>
      </c>
      <c r="H34" s="15">
        <v>8</v>
      </c>
      <c r="I34" s="15">
        <v>8</v>
      </c>
      <c r="J34" s="15">
        <v>8</v>
      </c>
      <c r="K34" s="15">
        <v>8</v>
      </c>
      <c r="L34" s="15"/>
      <c r="M34" s="15"/>
      <c r="N34" s="15">
        <v>7.98</v>
      </c>
      <c r="O34" s="15">
        <v>8</v>
      </c>
      <c r="P34" s="15">
        <v>7.99</v>
      </c>
      <c r="Q34" s="15">
        <v>8</v>
      </c>
      <c r="R34" s="16">
        <v>7.93</v>
      </c>
      <c r="S34" s="17">
        <f t="shared" si="2"/>
        <v>95.9</v>
      </c>
      <c r="T34" s="18"/>
      <c r="U34" s="6"/>
    </row>
    <row r="35" spans="1:21" x14ac:dyDescent="0.3">
      <c r="A35" s="14" t="s">
        <v>85</v>
      </c>
      <c r="B35" s="14" t="s">
        <v>86</v>
      </c>
      <c r="C35" s="15">
        <v>8</v>
      </c>
      <c r="D35" s="15">
        <v>8</v>
      </c>
      <c r="E35" s="15"/>
      <c r="F35" s="15"/>
      <c r="G35" s="15">
        <v>8</v>
      </c>
      <c r="H35" s="15">
        <v>8</v>
      </c>
      <c r="I35" s="15">
        <v>8</v>
      </c>
      <c r="J35" s="15">
        <v>8</v>
      </c>
      <c r="K35" s="15">
        <v>8</v>
      </c>
      <c r="L35" s="15"/>
      <c r="M35" s="15"/>
      <c r="N35" s="15">
        <v>8</v>
      </c>
      <c r="O35" s="15">
        <v>8</v>
      </c>
      <c r="P35" s="15">
        <v>8</v>
      </c>
      <c r="Q35" s="15">
        <v>8</v>
      </c>
      <c r="R35" s="16">
        <v>8</v>
      </c>
      <c r="S35" s="17">
        <f t="shared" si="2"/>
        <v>96</v>
      </c>
      <c r="T35" s="18"/>
      <c r="U35" s="6"/>
    </row>
    <row r="36" spans="1:21" x14ac:dyDescent="0.3">
      <c r="A36" s="14" t="s">
        <v>87</v>
      </c>
      <c r="B36" s="14" t="s">
        <v>88</v>
      </c>
      <c r="C36" s="15">
        <v>8</v>
      </c>
      <c r="D36" s="15">
        <v>7.68</v>
      </c>
      <c r="E36" s="15"/>
      <c r="F36" s="15"/>
      <c r="G36" s="15">
        <v>8</v>
      </c>
      <c r="H36" s="15">
        <v>8</v>
      </c>
      <c r="I36" s="15">
        <v>8</v>
      </c>
      <c r="J36" s="15">
        <v>8</v>
      </c>
      <c r="K36" s="15">
        <v>8</v>
      </c>
      <c r="L36" s="15"/>
      <c r="M36" s="15"/>
      <c r="N36" s="15">
        <v>8</v>
      </c>
      <c r="O36" s="15">
        <v>8</v>
      </c>
      <c r="P36" s="15">
        <v>8</v>
      </c>
      <c r="Q36" s="15">
        <v>8</v>
      </c>
      <c r="R36" s="16">
        <v>8</v>
      </c>
      <c r="S36" s="17">
        <f t="shared" si="2"/>
        <v>95.68</v>
      </c>
      <c r="T36" s="18"/>
      <c r="U36" s="6"/>
    </row>
    <row r="37" spans="1:21" x14ac:dyDescent="0.3">
      <c r="A37" s="14" t="s">
        <v>221</v>
      </c>
      <c r="B37" s="14" t="s">
        <v>222</v>
      </c>
      <c r="C37" s="15">
        <v>8</v>
      </c>
      <c r="D37" s="15">
        <v>8</v>
      </c>
      <c r="E37" s="15"/>
      <c r="F37" s="15"/>
      <c r="G37" s="15">
        <v>8</v>
      </c>
      <c r="H37" s="15">
        <v>8</v>
      </c>
      <c r="I37" s="15">
        <v>8</v>
      </c>
      <c r="J37" s="15">
        <v>8</v>
      </c>
      <c r="K37" s="15">
        <v>8</v>
      </c>
      <c r="L37" s="15"/>
      <c r="M37" s="15"/>
      <c r="N37" s="15">
        <v>8</v>
      </c>
      <c r="O37" s="15">
        <v>8</v>
      </c>
      <c r="P37" s="15">
        <v>8</v>
      </c>
      <c r="Q37" s="15">
        <v>8</v>
      </c>
      <c r="R37" s="16"/>
      <c r="S37" s="17">
        <f>SUM(C37:R37)-R37</f>
        <v>88</v>
      </c>
      <c r="T37" s="18"/>
      <c r="U37" s="6"/>
    </row>
    <row r="38" spans="1:21" x14ac:dyDescent="0.3">
      <c r="A38" s="14" t="s">
        <v>89</v>
      </c>
      <c r="B38" s="14" t="s">
        <v>90</v>
      </c>
      <c r="C38" s="15">
        <v>7.6</v>
      </c>
      <c r="D38" s="15">
        <v>8</v>
      </c>
      <c r="E38" s="15"/>
      <c r="F38" s="15"/>
      <c r="G38" s="15">
        <v>8</v>
      </c>
      <c r="H38" s="15"/>
      <c r="I38" s="15"/>
      <c r="J38" s="15">
        <v>8</v>
      </c>
      <c r="K38" s="15">
        <v>8</v>
      </c>
      <c r="L38" s="15"/>
      <c r="M38" s="15"/>
      <c r="N38" s="15">
        <v>8</v>
      </c>
      <c r="O38" s="15">
        <v>8</v>
      </c>
      <c r="P38" s="15">
        <v>8</v>
      </c>
      <c r="Q38" s="15">
        <v>7.95</v>
      </c>
      <c r="R38" s="16">
        <v>8</v>
      </c>
      <c r="S38" s="17">
        <f t="shared" ref="S38:S47" si="3">SUM(C38:R38)</f>
        <v>79.55</v>
      </c>
      <c r="T38" s="18"/>
      <c r="U38" s="6"/>
    </row>
    <row r="39" spans="1:21" x14ac:dyDescent="0.3">
      <c r="A39" s="14" t="s">
        <v>91</v>
      </c>
      <c r="B39" s="14" t="s">
        <v>92</v>
      </c>
      <c r="C39" s="15">
        <v>8</v>
      </c>
      <c r="D39" s="15">
        <v>8</v>
      </c>
      <c r="E39" s="15"/>
      <c r="F39" s="15"/>
      <c r="G39" s="15">
        <v>8</v>
      </c>
      <c r="H39" s="15">
        <v>8</v>
      </c>
      <c r="I39" s="15"/>
      <c r="J39" s="15">
        <v>8</v>
      </c>
      <c r="K39" s="15">
        <v>8</v>
      </c>
      <c r="L39" s="15"/>
      <c r="M39" s="15"/>
      <c r="N39" s="15">
        <v>8</v>
      </c>
      <c r="O39" s="15">
        <v>8</v>
      </c>
      <c r="P39" s="15">
        <v>8</v>
      </c>
      <c r="Q39" s="15">
        <v>8</v>
      </c>
      <c r="R39" s="16"/>
      <c r="S39" s="17">
        <f t="shared" si="3"/>
        <v>80</v>
      </c>
      <c r="T39" s="18"/>
      <c r="U39" s="6"/>
    </row>
    <row r="40" spans="1:21" x14ac:dyDescent="0.3">
      <c r="A40" s="14" t="s">
        <v>93</v>
      </c>
      <c r="B40" s="14" t="s">
        <v>94</v>
      </c>
      <c r="C40" s="15">
        <v>8</v>
      </c>
      <c r="D40" s="15">
        <v>8</v>
      </c>
      <c r="E40" s="15"/>
      <c r="F40" s="15"/>
      <c r="G40" s="15">
        <v>8</v>
      </c>
      <c r="H40" s="15">
        <v>8</v>
      </c>
      <c r="I40" s="15">
        <v>8</v>
      </c>
      <c r="J40" s="15">
        <v>8</v>
      </c>
      <c r="K40" s="15">
        <v>8</v>
      </c>
      <c r="L40" s="15"/>
      <c r="M40" s="15"/>
      <c r="N40" s="15">
        <v>8</v>
      </c>
      <c r="O40" s="15">
        <v>8</v>
      </c>
      <c r="P40" s="15">
        <v>8</v>
      </c>
      <c r="Q40" s="15">
        <v>8</v>
      </c>
      <c r="R40" s="16">
        <v>8</v>
      </c>
      <c r="S40" s="17">
        <f t="shared" si="3"/>
        <v>96</v>
      </c>
      <c r="T40" s="18"/>
      <c r="U40" s="6"/>
    </row>
    <row r="41" spans="1:21" x14ac:dyDescent="0.3">
      <c r="A41" s="14" t="s">
        <v>95</v>
      </c>
      <c r="B41" s="14" t="s">
        <v>96</v>
      </c>
      <c r="C41" s="15">
        <v>8</v>
      </c>
      <c r="D41" s="15">
        <v>8</v>
      </c>
      <c r="E41" s="15"/>
      <c r="F41" s="15"/>
      <c r="G41" s="15">
        <v>8</v>
      </c>
      <c r="H41" s="15">
        <v>8</v>
      </c>
      <c r="I41" s="15">
        <v>8</v>
      </c>
      <c r="J41" s="15">
        <v>8</v>
      </c>
      <c r="K41" s="15">
        <v>8</v>
      </c>
      <c r="L41" s="15"/>
      <c r="M41" s="15"/>
      <c r="N41" s="15">
        <v>8</v>
      </c>
      <c r="O41" s="15">
        <v>8</v>
      </c>
      <c r="P41" s="15">
        <v>8</v>
      </c>
      <c r="Q41" s="15">
        <v>8</v>
      </c>
      <c r="R41" s="16">
        <v>8</v>
      </c>
      <c r="S41" s="17">
        <f t="shared" si="3"/>
        <v>96</v>
      </c>
      <c r="T41" s="18"/>
      <c r="U41" s="6"/>
    </row>
    <row r="42" spans="1:21" x14ac:dyDescent="0.3">
      <c r="A42" s="14" t="s">
        <v>97</v>
      </c>
      <c r="B42" s="14" t="s">
        <v>98</v>
      </c>
      <c r="C42" s="15">
        <v>8</v>
      </c>
      <c r="D42" s="15">
        <v>8</v>
      </c>
      <c r="E42" s="15"/>
      <c r="F42" s="15"/>
      <c r="G42" s="15">
        <v>8</v>
      </c>
      <c r="H42" s="15">
        <v>8</v>
      </c>
      <c r="I42" s="15">
        <v>8</v>
      </c>
      <c r="J42" s="15">
        <v>7.51</v>
      </c>
      <c r="K42" s="15">
        <v>8</v>
      </c>
      <c r="L42" s="15"/>
      <c r="M42" s="15"/>
      <c r="N42" s="15">
        <v>8</v>
      </c>
      <c r="O42" s="15">
        <v>8</v>
      </c>
      <c r="P42" s="15">
        <v>8</v>
      </c>
      <c r="Q42" s="15">
        <v>8</v>
      </c>
      <c r="R42" s="16">
        <v>8</v>
      </c>
      <c r="S42" s="17">
        <f t="shared" si="3"/>
        <v>95.509999999999991</v>
      </c>
      <c r="T42" s="18"/>
      <c r="U42" s="6"/>
    </row>
    <row r="43" spans="1:21" x14ac:dyDescent="0.3">
      <c r="A43" s="14" t="s">
        <v>99</v>
      </c>
      <c r="B43" s="14" t="s">
        <v>100</v>
      </c>
      <c r="C43" s="15">
        <v>8</v>
      </c>
      <c r="D43" s="15">
        <v>8</v>
      </c>
      <c r="E43" s="15">
        <v>8</v>
      </c>
      <c r="F43" s="15">
        <v>7.58</v>
      </c>
      <c r="G43" s="15">
        <v>8</v>
      </c>
      <c r="H43" s="15"/>
      <c r="I43" s="15"/>
      <c r="J43" s="15">
        <v>8</v>
      </c>
      <c r="K43" s="15">
        <v>8</v>
      </c>
      <c r="L43" s="15">
        <v>7.73</v>
      </c>
      <c r="M43" s="15">
        <v>8</v>
      </c>
      <c r="N43" s="15">
        <v>7.93</v>
      </c>
      <c r="O43" s="15"/>
      <c r="P43" s="15"/>
      <c r="Q43" s="15">
        <v>8</v>
      </c>
      <c r="R43" s="16">
        <v>8</v>
      </c>
      <c r="S43" s="17">
        <f t="shared" si="3"/>
        <v>95.240000000000009</v>
      </c>
      <c r="T43" s="18"/>
      <c r="U43" s="6"/>
    </row>
    <row r="44" spans="1:21" x14ac:dyDescent="0.3">
      <c r="A44" s="14" t="s">
        <v>101</v>
      </c>
      <c r="B44" s="14" t="s">
        <v>102</v>
      </c>
      <c r="C44" s="15">
        <v>8</v>
      </c>
      <c r="D44" s="15">
        <v>8</v>
      </c>
      <c r="E44" s="15"/>
      <c r="F44" s="15"/>
      <c r="G44" s="15">
        <v>8</v>
      </c>
      <c r="H44" s="15">
        <v>8</v>
      </c>
      <c r="I44" s="15">
        <v>7.85</v>
      </c>
      <c r="J44" s="15">
        <v>8</v>
      </c>
      <c r="K44" s="15">
        <v>8</v>
      </c>
      <c r="L44" s="15"/>
      <c r="M44" s="15"/>
      <c r="N44" s="15">
        <v>8</v>
      </c>
      <c r="O44" s="15">
        <v>8</v>
      </c>
      <c r="P44" s="15">
        <v>7.66</v>
      </c>
      <c r="Q44" s="15">
        <v>8</v>
      </c>
      <c r="R44" s="16">
        <v>8</v>
      </c>
      <c r="S44" s="17">
        <f t="shared" si="3"/>
        <v>95.509999999999991</v>
      </c>
      <c r="T44" s="18"/>
      <c r="U44" s="6"/>
    </row>
    <row r="45" spans="1:21" x14ac:dyDescent="0.3">
      <c r="A45" s="14" t="s">
        <v>103</v>
      </c>
      <c r="B45" s="14" t="s">
        <v>104</v>
      </c>
      <c r="C45" s="15">
        <v>8</v>
      </c>
      <c r="D45" s="15">
        <v>8</v>
      </c>
      <c r="E45" s="15"/>
      <c r="F45" s="15"/>
      <c r="G45" s="15">
        <v>8</v>
      </c>
      <c r="H45" s="15">
        <v>8</v>
      </c>
      <c r="I45" s="15">
        <v>8</v>
      </c>
      <c r="J45" s="15">
        <v>8</v>
      </c>
      <c r="K45" s="15">
        <v>8</v>
      </c>
      <c r="L45" s="15"/>
      <c r="M45" s="15"/>
      <c r="N45" s="15">
        <v>8</v>
      </c>
      <c r="O45" s="15">
        <v>8</v>
      </c>
      <c r="P45" s="15">
        <v>8</v>
      </c>
      <c r="Q45" s="15">
        <v>8</v>
      </c>
      <c r="R45" s="16">
        <v>8</v>
      </c>
      <c r="S45" s="17">
        <f t="shared" si="3"/>
        <v>96</v>
      </c>
      <c r="T45" s="18"/>
      <c r="U45" s="6"/>
    </row>
    <row r="46" spans="1:21" x14ac:dyDescent="0.3">
      <c r="A46" s="14" t="s">
        <v>105</v>
      </c>
      <c r="B46" s="14" t="s">
        <v>106</v>
      </c>
      <c r="C46" s="15">
        <v>8</v>
      </c>
      <c r="D46" s="15">
        <v>8</v>
      </c>
      <c r="E46" s="15"/>
      <c r="F46" s="15"/>
      <c r="G46" s="15">
        <v>8</v>
      </c>
      <c r="H46" s="15">
        <v>8</v>
      </c>
      <c r="I46" s="15">
        <v>8</v>
      </c>
      <c r="J46" s="15">
        <v>8</v>
      </c>
      <c r="K46" s="15">
        <v>8</v>
      </c>
      <c r="L46" s="15"/>
      <c r="M46" s="15"/>
      <c r="N46" s="15">
        <v>8</v>
      </c>
      <c r="O46" s="15">
        <v>8</v>
      </c>
      <c r="P46" s="15">
        <v>8</v>
      </c>
      <c r="Q46" s="15">
        <v>8</v>
      </c>
      <c r="R46" s="16">
        <v>8</v>
      </c>
      <c r="S46" s="17">
        <f t="shared" si="3"/>
        <v>96</v>
      </c>
      <c r="T46" s="18"/>
      <c r="U46" s="6"/>
    </row>
    <row r="47" spans="1:21" x14ac:dyDescent="0.3">
      <c r="A47" s="14" t="s">
        <v>107</v>
      </c>
      <c r="B47" s="14" t="s">
        <v>108</v>
      </c>
      <c r="C47" s="15">
        <v>8</v>
      </c>
      <c r="D47" s="15">
        <v>8</v>
      </c>
      <c r="E47" s="15"/>
      <c r="F47" s="15"/>
      <c r="G47" s="15">
        <v>8</v>
      </c>
      <c r="H47" s="15">
        <v>8</v>
      </c>
      <c r="I47" s="15">
        <v>8</v>
      </c>
      <c r="J47" s="15">
        <v>8</v>
      </c>
      <c r="K47" s="15">
        <v>8</v>
      </c>
      <c r="L47" s="15"/>
      <c r="M47" s="15"/>
      <c r="N47" s="15"/>
      <c r="O47" s="15">
        <v>8</v>
      </c>
      <c r="P47" s="15">
        <v>8</v>
      </c>
      <c r="Q47" s="15">
        <v>8</v>
      </c>
      <c r="R47" s="16">
        <v>8</v>
      </c>
      <c r="S47" s="17">
        <f t="shared" si="3"/>
        <v>88</v>
      </c>
      <c r="T47" s="18"/>
      <c r="U47" s="6"/>
    </row>
    <row r="48" spans="1:21" x14ac:dyDescent="0.3">
      <c r="A48" s="14" t="s">
        <v>223</v>
      </c>
      <c r="B48" s="14" t="s">
        <v>224</v>
      </c>
      <c r="C48" s="15">
        <v>8</v>
      </c>
      <c r="D48" s="15">
        <v>8</v>
      </c>
      <c r="E48" s="15"/>
      <c r="F48" s="15"/>
      <c r="G48" s="15">
        <v>8</v>
      </c>
      <c r="H48" s="15">
        <v>8</v>
      </c>
      <c r="I48" s="15">
        <v>8</v>
      </c>
      <c r="J48" s="15">
        <v>8</v>
      </c>
      <c r="K48" s="15">
        <v>8</v>
      </c>
      <c r="L48" s="15"/>
      <c r="M48" s="15"/>
      <c r="N48" s="15">
        <v>8</v>
      </c>
      <c r="O48" s="15">
        <v>8</v>
      </c>
      <c r="P48" s="15">
        <v>8</v>
      </c>
      <c r="Q48" s="15">
        <v>8</v>
      </c>
      <c r="R48" s="16">
        <v>8</v>
      </c>
      <c r="S48" s="17">
        <f>SUM(C48:R48)-R48</f>
        <v>88</v>
      </c>
      <c r="T48" s="18"/>
      <c r="U48" s="6"/>
    </row>
    <row r="49" spans="1:21" x14ac:dyDescent="0.3">
      <c r="A49" s="14" t="s">
        <v>109</v>
      </c>
      <c r="B49" s="14" t="s">
        <v>110</v>
      </c>
      <c r="C49" s="15"/>
      <c r="D49" s="15"/>
      <c r="E49" s="15"/>
      <c r="F49" s="15"/>
      <c r="G49" s="15">
        <v>8</v>
      </c>
      <c r="H49" s="15">
        <v>8</v>
      </c>
      <c r="I49" s="15">
        <v>8</v>
      </c>
      <c r="J49" s="15">
        <v>8</v>
      </c>
      <c r="K49" s="15">
        <v>8</v>
      </c>
      <c r="L49" s="15"/>
      <c r="M49" s="15"/>
      <c r="N49" s="15">
        <v>8</v>
      </c>
      <c r="O49" s="15">
        <v>8</v>
      </c>
      <c r="P49" s="15">
        <v>8</v>
      </c>
      <c r="Q49" s="15">
        <v>8</v>
      </c>
      <c r="R49" s="16">
        <v>8</v>
      </c>
      <c r="S49" s="17">
        <f t="shared" ref="S49:S52" si="4">SUM(C49:R49)</f>
        <v>80</v>
      </c>
      <c r="T49" s="18"/>
      <c r="U49" s="6"/>
    </row>
    <row r="50" spans="1:21" x14ac:dyDescent="0.3">
      <c r="A50" s="14" t="s">
        <v>111</v>
      </c>
      <c r="B50" s="14" t="s">
        <v>112</v>
      </c>
      <c r="C50" s="15">
        <v>8</v>
      </c>
      <c r="D50" s="15">
        <v>8</v>
      </c>
      <c r="E50" s="15"/>
      <c r="F50" s="15"/>
      <c r="G50" s="15">
        <v>8</v>
      </c>
      <c r="H50" s="15">
        <v>8</v>
      </c>
      <c r="I50" s="15">
        <v>8</v>
      </c>
      <c r="J50" s="15">
        <v>4</v>
      </c>
      <c r="K50" s="15">
        <v>8</v>
      </c>
      <c r="L50" s="15"/>
      <c r="M50" s="15"/>
      <c r="N50" s="15">
        <v>8</v>
      </c>
      <c r="O50" s="15">
        <v>8</v>
      </c>
      <c r="P50" s="15">
        <v>7.99</v>
      </c>
      <c r="Q50" s="15">
        <v>8</v>
      </c>
      <c r="R50" s="16">
        <v>8</v>
      </c>
      <c r="S50" s="17">
        <f t="shared" si="4"/>
        <v>91.99</v>
      </c>
      <c r="T50" s="18"/>
      <c r="U50" s="6"/>
    </row>
    <row r="51" spans="1:21" x14ac:dyDescent="0.3">
      <c r="A51" s="19" t="s">
        <v>113</v>
      </c>
      <c r="B51" s="14" t="s">
        <v>114</v>
      </c>
      <c r="C51" s="15">
        <v>8</v>
      </c>
      <c r="D51" s="15">
        <v>8</v>
      </c>
      <c r="E51" s="15"/>
      <c r="F51" s="15"/>
      <c r="G51" s="15">
        <v>8</v>
      </c>
      <c r="H51" s="15">
        <v>8</v>
      </c>
      <c r="I51" s="15">
        <v>8</v>
      </c>
      <c r="J51" s="15">
        <v>7.86</v>
      </c>
      <c r="K51" s="15">
        <v>7.83</v>
      </c>
      <c r="L51" s="15"/>
      <c r="M51" s="15"/>
      <c r="N51" s="15">
        <v>8</v>
      </c>
      <c r="O51" s="15">
        <v>8</v>
      </c>
      <c r="P51" s="15">
        <v>8</v>
      </c>
      <c r="Q51" s="15">
        <v>8</v>
      </c>
      <c r="R51" s="16">
        <v>8</v>
      </c>
      <c r="S51" s="17">
        <f t="shared" si="4"/>
        <v>95.69</v>
      </c>
      <c r="T51" s="18"/>
      <c r="U51" s="6"/>
    </row>
    <row r="52" spans="1:21" x14ac:dyDescent="0.3">
      <c r="A52" s="14" t="s">
        <v>115</v>
      </c>
      <c r="B52" s="14" t="s">
        <v>116</v>
      </c>
      <c r="C52" s="15">
        <v>8</v>
      </c>
      <c r="D52" s="15">
        <v>7.66</v>
      </c>
      <c r="E52" s="15"/>
      <c r="F52" s="15"/>
      <c r="G52" s="15">
        <v>8</v>
      </c>
      <c r="H52" s="15">
        <v>8</v>
      </c>
      <c r="I52" s="15">
        <v>8</v>
      </c>
      <c r="J52" s="15">
        <v>8</v>
      </c>
      <c r="K52" s="15">
        <v>8</v>
      </c>
      <c r="L52" s="15"/>
      <c r="M52" s="15"/>
      <c r="N52" s="15">
        <v>8</v>
      </c>
      <c r="O52" s="15">
        <v>8</v>
      </c>
      <c r="P52" s="15">
        <v>8</v>
      </c>
      <c r="Q52" s="15">
        <v>8</v>
      </c>
      <c r="R52" s="16">
        <v>8</v>
      </c>
      <c r="S52" s="17">
        <f t="shared" si="4"/>
        <v>95.66</v>
      </c>
      <c r="T52" s="18"/>
      <c r="U52" s="6"/>
    </row>
    <row r="53" spans="1:21" x14ac:dyDescent="0.3">
      <c r="A53" s="14" t="s">
        <v>229</v>
      </c>
      <c r="B53" s="14" t="s">
        <v>230</v>
      </c>
      <c r="C53" s="15">
        <v>8</v>
      </c>
      <c r="D53" s="15">
        <v>8</v>
      </c>
      <c r="E53" s="15"/>
      <c r="F53" s="15"/>
      <c r="G53" s="15">
        <v>8</v>
      </c>
      <c r="H53" s="15">
        <v>8</v>
      </c>
      <c r="I53" s="15">
        <v>4</v>
      </c>
      <c r="J53" s="15">
        <v>8</v>
      </c>
      <c r="K53" s="15">
        <v>8</v>
      </c>
      <c r="L53" s="15"/>
      <c r="M53" s="15"/>
      <c r="N53" s="15">
        <v>8</v>
      </c>
      <c r="O53" s="15">
        <v>8</v>
      </c>
      <c r="P53" s="15">
        <v>8</v>
      </c>
      <c r="Q53" s="15">
        <v>8</v>
      </c>
      <c r="R53" s="16">
        <v>8</v>
      </c>
      <c r="S53" s="17">
        <f>SUM(C53:R53)-R53</f>
        <v>84</v>
      </c>
      <c r="T53" s="18"/>
      <c r="U53" s="6"/>
    </row>
    <row r="54" spans="1:21" x14ac:dyDescent="0.3">
      <c r="A54" s="14" t="s">
        <v>217</v>
      </c>
      <c r="B54" s="14" t="s">
        <v>218</v>
      </c>
      <c r="C54" s="15">
        <v>8</v>
      </c>
      <c r="D54" s="15">
        <v>8</v>
      </c>
      <c r="E54" s="15"/>
      <c r="F54" s="15"/>
      <c r="G54" s="15">
        <v>8</v>
      </c>
      <c r="H54" s="15">
        <v>8</v>
      </c>
      <c r="I54" s="15">
        <v>8</v>
      </c>
      <c r="J54" s="15">
        <v>8</v>
      </c>
      <c r="K54" s="15">
        <v>8</v>
      </c>
      <c r="L54" s="15"/>
      <c r="M54" s="15"/>
      <c r="N54" s="15">
        <v>8</v>
      </c>
      <c r="O54" s="15">
        <v>8</v>
      </c>
      <c r="P54" s="15">
        <v>8</v>
      </c>
      <c r="Q54" s="15">
        <v>8</v>
      </c>
      <c r="R54" s="16">
        <v>8</v>
      </c>
      <c r="S54" s="17">
        <f>SUM(C54:R54)-R54-D54</f>
        <v>80</v>
      </c>
      <c r="T54" s="18"/>
      <c r="U54" s="6"/>
    </row>
    <row r="55" spans="1:21" x14ac:dyDescent="0.3">
      <c r="A55" s="14" t="s">
        <v>117</v>
      </c>
      <c r="B55" s="14" t="s">
        <v>118</v>
      </c>
      <c r="C55" s="15">
        <v>8</v>
      </c>
      <c r="D55" s="15">
        <v>8</v>
      </c>
      <c r="E55" s="15"/>
      <c r="F55" s="15"/>
      <c r="G55" s="15">
        <v>8</v>
      </c>
      <c r="H55" s="15">
        <v>8</v>
      </c>
      <c r="I55" s="15">
        <v>8</v>
      </c>
      <c r="J55" s="15">
        <v>8</v>
      </c>
      <c r="K55" s="15">
        <v>8</v>
      </c>
      <c r="L55" s="15"/>
      <c r="M55" s="15"/>
      <c r="N55" s="15">
        <v>8</v>
      </c>
      <c r="O55" s="15">
        <v>8</v>
      </c>
      <c r="P55" s="15">
        <v>8</v>
      </c>
      <c r="Q55" s="15">
        <v>8</v>
      </c>
      <c r="R55" s="16">
        <v>8</v>
      </c>
      <c r="S55" s="17">
        <f t="shared" ref="S55:S61" si="5">SUM(C55:R55)</f>
        <v>96</v>
      </c>
      <c r="T55" s="18"/>
      <c r="U55" s="6"/>
    </row>
    <row r="56" spans="1:21" x14ac:dyDescent="0.3">
      <c r="A56" s="14" t="s">
        <v>119</v>
      </c>
      <c r="B56" s="14" t="s">
        <v>120</v>
      </c>
      <c r="C56" s="15">
        <v>8</v>
      </c>
      <c r="D56" s="15">
        <v>8</v>
      </c>
      <c r="E56" s="15"/>
      <c r="F56" s="15"/>
      <c r="G56" s="15">
        <v>8</v>
      </c>
      <c r="H56" s="15">
        <v>8</v>
      </c>
      <c r="I56" s="15">
        <v>8</v>
      </c>
      <c r="J56" s="15">
        <v>8</v>
      </c>
      <c r="K56" s="15">
        <v>4.01</v>
      </c>
      <c r="L56" s="15"/>
      <c r="M56" s="15"/>
      <c r="N56" s="15">
        <v>8</v>
      </c>
      <c r="O56" s="15">
        <v>8</v>
      </c>
      <c r="P56" s="15">
        <v>4</v>
      </c>
      <c r="Q56" s="15">
        <v>8</v>
      </c>
      <c r="R56" s="16">
        <v>7.9</v>
      </c>
      <c r="S56" s="17">
        <f t="shared" si="5"/>
        <v>87.91</v>
      </c>
      <c r="T56" s="18"/>
      <c r="U56" s="6"/>
    </row>
    <row r="57" spans="1:21" x14ac:dyDescent="0.3">
      <c r="A57" s="14" t="s">
        <v>121</v>
      </c>
      <c r="B57" s="14" t="s">
        <v>122</v>
      </c>
      <c r="C57" s="15">
        <v>8</v>
      </c>
      <c r="D57" s="15">
        <v>8</v>
      </c>
      <c r="E57" s="15"/>
      <c r="F57" s="15"/>
      <c r="G57" s="15">
        <v>8</v>
      </c>
      <c r="H57" s="15">
        <v>8</v>
      </c>
      <c r="I57" s="15">
        <v>8</v>
      </c>
      <c r="J57" s="15">
        <v>8</v>
      </c>
      <c r="K57" s="15">
        <v>8</v>
      </c>
      <c r="L57" s="15"/>
      <c r="M57" s="15"/>
      <c r="N57" s="15">
        <v>8</v>
      </c>
      <c r="O57" s="15">
        <v>4</v>
      </c>
      <c r="P57" s="15">
        <v>8</v>
      </c>
      <c r="Q57" s="15">
        <v>8</v>
      </c>
      <c r="R57" s="16">
        <v>8</v>
      </c>
      <c r="S57" s="17">
        <f t="shared" si="5"/>
        <v>92</v>
      </c>
      <c r="T57" s="18"/>
      <c r="U57" s="6"/>
    </row>
    <row r="58" spans="1:21" x14ac:dyDescent="0.3">
      <c r="A58" s="14" t="s">
        <v>123</v>
      </c>
      <c r="B58" s="14" t="s">
        <v>258</v>
      </c>
      <c r="C58" s="15">
        <v>8</v>
      </c>
      <c r="D58" s="15">
        <v>8</v>
      </c>
      <c r="E58" s="15"/>
      <c r="F58" s="15"/>
      <c r="G58" s="15">
        <v>8</v>
      </c>
      <c r="H58" s="15">
        <v>8</v>
      </c>
      <c r="I58" s="15">
        <v>8</v>
      </c>
      <c r="J58" s="15">
        <v>8</v>
      </c>
      <c r="K58" s="15">
        <v>8</v>
      </c>
      <c r="L58" s="15"/>
      <c r="M58" s="15"/>
      <c r="N58" s="15">
        <v>8</v>
      </c>
      <c r="O58" s="15">
        <v>8</v>
      </c>
      <c r="P58" s="15">
        <v>8</v>
      </c>
      <c r="Q58" s="15">
        <v>8</v>
      </c>
      <c r="R58" s="16">
        <v>8</v>
      </c>
      <c r="S58" s="17">
        <f t="shared" si="5"/>
        <v>96</v>
      </c>
      <c r="T58" s="18"/>
      <c r="U58" s="6"/>
    </row>
    <row r="59" spans="1:21" x14ac:dyDescent="0.3">
      <c r="A59" s="14" t="s">
        <v>125</v>
      </c>
      <c r="B59" s="14" t="s">
        <v>126</v>
      </c>
      <c r="C59" s="15">
        <v>8</v>
      </c>
      <c r="D59" s="15">
        <v>8</v>
      </c>
      <c r="E59" s="15"/>
      <c r="F59" s="15"/>
      <c r="G59" s="15">
        <v>8</v>
      </c>
      <c r="H59" s="15">
        <v>8</v>
      </c>
      <c r="I59" s="15">
        <v>8</v>
      </c>
      <c r="J59" s="15">
        <v>8</v>
      </c>
      <c r="K59" s="15">
        <v>8</v>
      </c>
      <c r="L59" s="15"/>
      <c r="M59" s="15"/>
      <c r="N59" s="15">
        <v>8</v>
      </c>
      <c r="O59" s="15">
        <v>8</v>
      </c>
      <c r="P59" s="15">
        <v>8</v>
      </c>
      <c r="Q59" s="15">
        <v>8</v>
      </c>
      <c r="R59" s="16">
        <v>8</v>
      </c>
      <c r="S59" s="17">
        <f t="shared" si="5"/>
        <v>96</v>
      </c>
      <c r="T59" s="18"/>
      <c r="U59" s="6"/>
    </row>
    <row r="60" spans="1:21" x14ac:dyDescent="0.3">
      <c r="A60" s="14" t="s">
        <v>127</v>
      </c>
      <c r="B60" s="14" t="s">
        <v>128</v>
      </c>
      <c r="C60" s="15">
        <v>8</v>
      </c>
      <c r="D60" s="15">
        <v>8</v>
      </c>
      <c r="E60" s="15"/>
      <c r="F60" s="15"/>
      <c r="G60" s="15">
        <v>8</v>
      </c>
      <c r="H60" s="15">
        <v>8</v>
      </c>
      <c r="I60" s="15">
        <v>8</v>
      </c>
      <c r="J60" s="15">
        <v>8</v>
      </c>
      <c r="K60" s="15">
        <v>8</v>
      </c>
      <c r="L60" s="15"/>
      <c r="M60" s="15"/>
      <c r="N60" s="15">
        <v>8</v>
      </c>
      <c r="O60" s="15">
        <v>8</v>
      </c>
      <c r="P60" s="15">
        <v>8</v>
      </c>
      <c r="Q60" s="15">
        <v>8</v>
      </c>
      <c r="R60" s="16">
        <v>8</v>
      </c>
      <c r="S60" s="17">
        <f t="shared" si="5"/>
        <v>96</v>
      </c>
      <c r="T60" s="18"/>
      <c r="U60" s="6"/>
    </row>
    <row r="61" spans="1:21" x14ac:dyDescent="0.3">
      <c r="A61" s="14" t="s">
        <v>129</v>
      </c>
      <c r="B61" s="14" t="s">
        <v>130</v>
      </c>
      <c r="C61" s="15">
        <v>8</v>
      </c>
      <c r="D61" s="15">
        <v>8</v>
      </c>
      <c r="E61" s="15"/>
      <c r="F61" s="15"/>
      <c r="G61" s="15">
        <v>8</v>
      </c>
      <c r="H61" s="15">
        <v>8</v>
      </c>
      <c r="I61" s="15">
        <v>8</v>
      </c>
      <c r="J61" s="15">
        <v>8</v>
      </c>
      <c r="K61" s="15">
        <v>8</v>
      </c>
      <c r="L61" s="15"/>
      <c r="M61" s="15"/>
      <c r="N61" s="15">
        <v>8</v>
      </c>
      <c r="O61" s="15">
        <v>8</v>
      </c>
      <c r="P61" s="15">
        <v>8</v>
      </c>
      <c r="Q61" s="15">
        <v>8</v>
      </c>
      <c r="R61" s="16">
        <v>8</v>
      </c>
      <c r="S61" s="17">
        <f t="shared" si="5"/>
        <v>96</v>
      </c>
      <c r="T61" s="18"/>
      <c r="U61" s="6"/>
    </row>
    <row r="62" spans="1:21" x14ac:dyDescent="0.3">
      <c r="A62" s="14" t="s">
        <v>225</v>
      </c>
      <c r="B62" s="14" t="s">
        <v>226</v>
      </c>
      <c r="C62" s="15">
        <v>8</v>
      </c>
      <c r="D62" s="15">
        <v>8</v>
      </c>
      <c r="E62" s="15"/>
      <c r="F62" s="15"/>
      <c r="G62" s="15">
        <v>8</v>
      </c>
      <c r="H62" s="15">
        <v>8</v>
      </c>
      <c r="I62" s="15">
        <v>8</v>
      </c>
      <c r="J62" s="15">
        <v>8</v>
      </c>
      <c r="K62" s="15">
        <v>8</v>
      </c>
      <c r="L62" s="15"/>
      <c r="M62" s="15"/>
      <c r="N62" s="15">
        <v>8</v>
      </c>
      <c r="O62" s="15">
        <v>8</v>
      </c>
      <c r="P62" s="15">
        <v>8</v>
      </c>
      <c r="Q62" s="15">
        <v>8</v>
      </c>
      <c r="R62" s="16"/>
      <c r="S62" s="17">
        <f>SUM(C62:R62)-R62</f>
        <v>88</v>
      </c>
      <c r="T62" s="18"/>
      <c r="U62" s="6"/>
    </row>
    <row r="63" spans="1:21" x14ac:dyDescent="0.3">
      <c r="A63" s="14" t="s">
        <v>131</v>
      </c>
      <c r="B63" s="14" t="s">
        <v>132</v>
      </c>
      <c r="C63" s="15">
        <v>8</v>
      </c>
      <c r="D63" s="15">
        <v>8</v>
      </c>
      <c r="E63" s="15"/>
      <c r="F63" s="15"/>
      <c r="G63" s="15">
        <v>8</v>
      </c>
      <c r="H63" s="15">
        <v>8</v>
      </c>
      <c r="I63" s="15">
        <v>8</v>
      </c>
      <c r="J63" s="15">
        <v>8</v>
      </c>
      <c r="K63" s="15">
        <v>8</v>
      </c>
      <c r="L63" s="15"/>
      <c r="M63" s="15"/>
      <c r="N63" s="15">
        <v>8</v>
      </c>
      <c r="O63" s="15">
        <v>8</v>
      </c>
      <c r="P63" s="15">
        <v>8</v>
      </c>
      <c r="Q63" s="15">
        <v>8</v>
      </c>
      <c r="R63" s="16">
        <v>8</v>
      </c>
      <c r="S63" s="17">
        <f t="shared" ref="S63:S64" si="6">SUM(C63:R63)</f>
        <v>96</v>
      </c>
      <c r="T63" s="18"/>
      <c r="U63" s="6"/>
    </row>
    <row r="64" spans="1:21" x14ac:dyDescent="0.3">
      <c r="A64" s="14" t="s">
        <v>133</v>
      </c>
      <c r="B64" s="14" t="s">
        <v>134</v>
      </c>
      <c r="C64" s="15">
        <v>8</v>
      </c>
      <c r="D64" s="15">
        <v>8</v>
      </c>
      <c r="E64" s="15"/>
      <c r="F64" s="15"/>
      <c r="G64" s="15">
        <v>7.89</v>
      </c>
      <c r="H64" s="15">
        <v>8</v>
      </c>
      <c r="I64" s="15">
        <v>8</v>
      </c>
      <c r="J64" s="15">
        <v>8</v>
      </c>
      <c r="K64" s="15">
        <v>8</v>
      </c>
      <c r="L64" s="15"/>
      <c r="M64" s="15"/>
      <c r="N64" s="15">
        <v>8</v>
      </c>
      <c r="O64" s="15">
        <v>8</v>
      </c>
      <c r="P64" s="15">
        <v>8</v>
      </c>
      <c r="Q64" s="15">
        <v>8</v>
      </c>
      <c r="R64" s="16">
        <v>8</v>
      </c>
      <c r="S64" s="17">
        <f t="shared" si="6"/>
        <v>95.89</v>
      </c>
      <c r="T64" s="18"/>
      <c r="U64" s="6"/>
    </row>
    <row r="65" spans="1:21" x14ac:dyDescent="0.3">
      <c r="A65" s="14" t="s">
        <v>213</v>
      </c>
      <c r="B65" s="14" t="s">
        <v>214</v>
      </c>
      <c r="C65" s="15">
        <v>8</v>
      </c>
      <c r="D65" s="15">
        <v>8</v>
      </c>
      <c r="E65" s="15"/>
      <c r="F65" s="15"/>
      <c r="G65" s="15">
        <v>8</v>
      </c>
      <c r="H65" s="15">
        <v>8</v>
      </c>
      <c r="I65" s="15">
        <v>8</v>
      </c>
      <c r="J65" s="15">
        <v>8</v>
      </c>
      <c r="K65" s="15">
        <v>8</v>
      </c>
      <c r="L65" s="15"/>
      <c r="M65" s="15"/>
      <c r="N65" s="15"/>
      <c r="O65" s="15">
        <v>8</v>
      </c>
      <c r="P65" s="15">
        <v>8</v>
      </c>
      <c r="Q65" s="15">
        <v>8</v>
      </c>
      <c r="R65" s="16">
        <v>8</v>
      </c>
      <c r="S65" s="17">
        <f>SUM(C65:R65)-R65-D65</f>
        <v>72</v>
      </c>
      <c r="T65" s="18"/>
      <c r="U65" s="6"/>
    </row>
    <row r="66" spans="1:21" x14ac:dyDescent="0.3">
      <c r="A66" s="14" t="s">
        <v>135</v>
      </c>
      <c r="B66" s="14" t="s">
        <v>136</v>
      </c>
      <c r="C66" s="15">
        <v>8</v>
      </c>
      <c r="D66" s="15"/>
      <c r="E66" s="15">
        <v>8</v>
      </c>
      <c r="F66" s="15"/>
      <c r="G66" s="15">
        <v>8</v>
      </c>
      <c r="H66" s="15">
        <v>8</v>
      </c>
      <c r="I66" s="15">
        <v>8</v>
      </c>
      <c r="J66" s="15">
        <v>8</v>
      </c>
      <c r="K66" s="15"/>
      <c r="L66" s="15"/>
      <c r="M66" s="15"/>
      <c r="N66" s="15">
        <v>6.48</v>
      </c>
      <c r="O66" s="15">
        <v>8</v>
      </c>
      <c r="P66" s="15">
        <v>8</v>
      </c>
      <c r="Q66" s="15">
        <v>8</v>
      </c>
      <c r="R66" s="16"/>
      <c r="S66" s="17">
        <f t="shared" ref="S66:S73" si="7">SUM(C66:R66)</f>
        <v>78.48</v>
      </c>
      <c r="T66" s="18"/>
      <c r="U66" s="6"/>
    </row>
    <row r="67" spans="1:21" x14ac:dyDescent="0.3">
      <c r="A67" s="14" t="s">
        <v>137</v>
      </c>
      <c r="B67" s="14" t="s">
        <v>138</v>
      </c>
      <c r="C67" s="15">
        <v>8</v>
      </c>
      <c r="D67" s="15">
        <v>8</v>
      </c>
      <c r="E67" s="15"/>
      <c r="F67" s="15"/>
      <c r="G67" s="15">
        <v>8</v>
      </c>
      <c r="H67" s="15">
        <v>8</v>
      </c>
      <c r="I67" s="15">
        <v>8</v>
      </c>
      <c r="J67" s="15">
        <v>8</v>
      </c>
      <c r="K67" s="15">
        <v>8</v>
      </c>
      <c r="L67" s="15"/>
      <c r="M67" s="15"/>
      <c r="N67" s="15"/>
      <c r="O67" s="15">
        <v>8</v>
      </c>
      <c r="P67" s="15">
        <v>8</v>
      </c>
      <c r="Q67" s="15">
        <v>8</v>
      </c>
      <c r="R67" s="16">
        <v>8</v>
      </c>
      <c r="S67" s="17">
        <f t="shared" si="7"/>
        <v>88</v>
      </c>
      <c r="T67" s="18"/>
      <c r="U67" s="6"/>
    </row>
    <row r="68" spans="1:21" x14ac:dyDescent="0.3">
      <c r="A68" s="14" t="s">
        <v>139</v>
      </c>
      <c r="B68" s="14" t="s">
        <v>140</v>
      </c>
      <c r="C68" s="15">
        <v>8</v>
      </c>
      <c r="D68" s="15">
        <v>8</v>
      </c>
      <c r="E68" s="15"/>
      <c r="F68" s="15"/>
      <c r="G68" s="15"/>
      <c r="H68" s="15">
        <v>8</v>
      </c>
      <c r="I68" s="15">
        <v>8</v>
      </c>
      <c r="J68" s="15">
        <v>8</v>
      </c>
      <c r="K68" s="15">
        <v>8</v>
      </c>
      <c r="L68" s="15"/>
      <c r="M68" s="15"/>
      <c r="N68" s="15">
        <v>7.94</v>
      </c>
      <c r="O68" s="15">
        <v>8</v>
      </c>
      <c r="P68" s="15">
        <v>8</v>
      </c>
      <c r="Q68" s="15">
        <v>8</v>
      </c>
      <c r="R68" s="16">
        <v>8</v>
      </c>
      <c r="S68" s="17">
        <f t="shared" si="7"/>
        <v>87.94</v>
      </c>
      <c r="T68" s="18"/>
      <c r="U68" s="6"/>
    </row>
    <row r="69" spans="1:21" x14ac:dyDescent="0.3">
      <c r="A69" s="14" t="s">
        <v>141</v>
      </c>
      <c r="B69" s="14" t="s">
        <v>142</v>
      </c>
      <c r="C69" s="15">
        <v>8</v>
      </c>
      <c r="D69" s="15">
        <v>8</v>
      </c>
      <c r="E69" s="15"/>
      <c r="F69" s="15"/>
      <c r="G69" s="15">
        <v>8</v>
      </c>
      <c r="H69" s="15">
        <v>8</v>
      </c>
      <c r="I69" s="15">
        <v>8</v>
      </c>
      <c r="J69" s="15">
        <v>8</v>
      </c>
      <c r="K69" s="15">
        <v>8</v>
      </c>
      <c r="L69" s="15"/>
      <c r="M69" s="15"/>
      <c r="N69" s="15">
        <v>8</v>
      </c>
      <c r="O69" s="15">
        <v>8</v>
      </c>
      <c r="P69" s="15">
        <v>8</v>
      </c>
      <c r="Q69" s="15">
        <v>8</v>
      </c>
      <c r="R69" s="16">
        <v>8</v>
      </c>
      <c r="S69" s="17">
        <f t="shared" si="7"/>
        <v>96</v>
      </c>
      <c r="T69" s="18"/>
      <c r="U69" s="6"/>
    </row>
    <row r="70" spans="1:21" x14ac:dyDescent="0.3">
      <c r="A70" s="14" t="s">
        <v>143</v>
      </c>
      <c r="B70" s="14" t="s">
        <v>144</v>
      </c>
      <c r="C70" s="15">
        <v>8</v>
      </c>
      <c r="D70" s="15">
        <v>8</v>
      </c>
      <c r="E70" s="15"/>
      <c r="F70" s="15"/>
      <c r="G70" s="15">
        <v>8</v>
      </c>
      <c r="H70" s="15">
        <v>8</v>
      </c>
      <c r="I70" s="15">
        <v>8</v>
      </c>
      <c r="J70" s="15">
        <v>8</v>
      </c>
      <c r="K70" s="15">
        <v>8</v>
      </c>
      <c r="L70" s="15"/>
      <c r="M70" s="15"/>
      <c r="N70" s="15">
        <v>8</v>
      </c>
      <c r="O70" s="15">
        <v>8</v>
      </c>
      <c r="P70" s="15">
        <v>8</v>
      </c>
      <c r="Q70" s="15">
        <v>8</v>
      </c>
      <c r="R70" s="16">
        <v>8</v>
      </c>
      <c r="S70" s="17">
        <f t="shared" si="7"/>
        <v>96</v>
      </c>
      <c r="T70" s="18"/>
      <c r="U70" s="6"/>
    </row>
    <row r="71" spans="1:21" x14ac:dyDescent="0.3">
      <c r="A71" s="19" t="s">
        <v>145</v>
      </c>
      <c r="B71" s="14" t="s">
        <v>146</v>
      </c>
      <c r="C71" s="15"/>
      <c r="D71" s="15"/>
      <c r="E71" s="15"/>
      <c r="F71" s="15"/>
      <c r="G71" s="15">
        <v>8</v>
      </c>
      <c r="H71" s="15">
        <v>8</v>
      </c>
      <c r="I71" s="15">
        <v>8</v>
      </c>
      <c r="J71" s="15">
        <v>8</v>
      </c>
      <c r="K71" s="15">
        <v>8</v>
      </c>
      <c r="L71" s="15"/>
      <c r="M71" s="15"/>
      <c r="N71" s="15">
        <v>8</v>
      </c>
      <c r="O71" s="15">
        <v>8</v>
      </c>
      <c r="P71" s="15">
        <v>8</v>
      </c>
      <c r="Q71" s="15"/>
      <c r="R71" s="16">
        <v>8</v>
      </c>
      <c r="S71" s="17">
        <f t="shared" si="7"/>
        <v>72</v>
      </c>
      <c r="T71" s="18"/>
      <c r="U71" s="6"/>
    </row>
    <row r="72" spans="1:21" x14ac:dyDescent="0.3">
      <c r="A72" s="14" t="s">
        <v>147</v>
      </c>
      <c r="B72" s="14" t="s">
        <v>148</v>
      </c>
      <c r="C72" s="15">
        <v>8</v>
      </c>
      <c r="D72" s="15">
        <v>8</v>
      </c>
      <c r="E72" s="15"/>
      <c r="F72" s="15"/>
      <c r="G72" s="15">
        <v>8</v>
      </c>
      <c r="H72" s="15">
        <v>8</v>
      </c>
      <c r="I72" s="15">
        <v>8</v>
      </c>
      <c r="J72" s="15">
        <v>8</v>
      </c>
      <c r="K72" s="15">
        <v>8</v>
      </c>
      <c r="L72" s="15"/>
      <c r="M72" s="15"/>
      <c r="N72" s="15">
        <v>8</v>
      </c>
      <c r="O72" s="15">
        <v>8</v>
      </c>
      <c r="P72" s="15">
        <v>8</v>
      </c>
      <c r="Q72" s="15">
        <v>8</v>
      </c>
      <c r="R72" s="16">
        <v>8</v>
      </c>
      <c r="S72" s="17">
        <f t="shared" si="7"/>
        <v>96</v>
      </c>
      <c r="T72" s="18"/>
      <c r="U72" s="6"/>
    </row>
    <row r="73" spans="1:21" x14ac:dyDescent="0.3">
      <c r="A73" s="14" t="s">
        <v>149</v>
      </c>
      <c r="B73" s="14" t="s">
        <v>150</v>
      </c>
      <c r="C73" s="15">
        <v>8</v>
      </c>
      <c r="D73" s="15">
        <v>8</v>
      </c>
      <c r="E73" s="15"/>
      <c r="F73" s="15"/>
      <c r="G73" s="15">
        <v>8</v>
      </c>
      <c r="H73" s="15">
        <v>8</v>
      </c>
      <c r="I73" s="15">
        <v>8</v>
      </c>
      <c r="J73" s="15">
        <v>8</v>
      </c>
      <c r="K73" s="15">
        <v>8</v>
      </c>
      <c r="L73" s="15"/>
      <c r="M73" s="15"/>
      <c r="N73" s="15">
        <v>8</v>
      </c>
      <c r="O73" s="15">
        <v>8</v>
      </c>
      <c r="P73" s="15">
        <v>8</v>
      </c>
      <c r="Q73" s="15">
        <v>8</v>
      </c>
      <c r="R73" s="16">
        <v>8</v>
      </c>
      <c r="S73" s="17">
        <f t="shared" si="7"/>
        <v>96</v>
      </c>
      <c r="T73" s="18"/>
      <c r="U73" s="6"/>
    </row>
    <row r="74" spans="1:21" x14ac:dyDescent="0.3">
      <c r="A74" s="14" t="s">
        <v>219</v>
      </c>
      <c r="B74" s="14" t="s">
        <v>220</v>
      </c>
      <c r="C74" s="15">
        <v>8</v>
      </c>
      <c r="D74" s="15">
        <v>8</v>
      </c>
      <c r="E74" s="15"/>
      <c r="F74" s="15"/>
      <c r="G74" s="15">
        <v>8</v>
      </c>
      <c r="H74" s="15">
        <v>8</v>
      </c>
      <c r="I74" s="15">
        <v>8</v>
      </c>
      <c r="J74" s="15">
        <v>8</v>
      </c>
      <c r="K74" s="15">
        <v>8</v>
      </c>
      <c r="L74" s="15"/>
      <c r="M74" s="15"/>
      <c r="N74" s="15">
        <v>8</v>
      </c>
      <c r="O74" s="15">
        <v>8</v>
      </c>
      <c r="P74" s="15">
        <v>8</v>
      </c>
      <c r="Q74" s="15">
        <v>8</v>
      </c>
      <c r="R74" s="16">
        <v>8</v>
      </c>
      <c r="S74" s="17">
        <f>SUM(C74:R74)-R74</f>
        <v>88</v>
      </c>
      <c r="T74" s="18"/>
      <c r="U74" s="6"/>
    </row>
    <row r="75" spans="1:21" x14ac:dyDescent="0.3">
      <c r="A75" s="14" t="s">
        <v>151</v>
      </c>
      <c r="B75" s="14" t="s">
        <v>152</v>
      </c>
      <c r="C75" s="15"/>
      <c r="D75" s="15">
        <v>8</v>
      </c>
      <c r="E75" s="15"/>
      <c r="F75" s="15"/>
      <c r="G75" s="15">
        <v>8</v>
      </c>
      <c r="H75" s="15">
        <v>8</v>
      </c>
      <c r="I75" s="15">
        <v>8</v>
      </c>
      <c r="J75" s="15">
        <v>8</v>
      </c>
      <c r="K75" s="15"/>
      <c r="L75" s="15"/>
      <c r="M75" s="15"/>
      <c r="N75" s="15">
        <v>8</v>
      </c>
      <c r="O75" s="15">
        <v>8</v>
      </c>
      <c r="P75" s="15">
        <v>8</v>
      </c>
      <c r="Q75" s="15">
        <v>8</v>
      </c>
      <c r="R75" s="16">
        <v>8</v>
      </c>
      <c r="S75" s="17">
        <f t="shared" ref="S75:S81" si="8">SUM(C75:R75)</f>
        <v>80</v>
      </c>
      <c r="T75" s="18"/>
      <c r="U75" s="6"/>
    </row>
    <row r="76" spans="1:21" x14ac:dyDescent="0.3">
      <c r="A76" s="14" t="s">
        <v>153</v>
      </c>
      <c r="B76" s="14" t="s">
        <v>154</v>
      </c>
      <c r="C76" s="15">
        <v>8</v>
      </c>
      <c r="D76" s="15">
        <v>8</v>
      </c>
      <c r="E76" s="15"/>
      <c r="F76" s="15"/>
      <c r="G76" s="15">
        <v>8</v>
      </c>
      <c r="H76" s="15">
        <v>8</v>
      </c>
      <c r="I76" s="15">
        <v>8</v>
      </c>
      <c r="J76" s="15">
        <v>8</v>
      </c>
      <c r="K76" s="15">
        <v>8</v>
      </c>
      <c r="L76" s="15"/>
      <c r="M76" s="15"/>
      <c r="N76" s="15">
        <v>8</v>
      </c>
      <c r="O76" s="15">
        <v>8</v>
      </c>
      <c r="P76" s="15">
        <v>8</v>
      </c>
      <c r="Q76" s="15">
        <v>8</v>
      </c>
      <c r="R76" s="16">
        <v>8</v>
      </c>
      <c r="S76" s="17">
        <f t="shared" si="8"/>
        <v>96</v>
      </c>
      <c r="T76" s="18"/>
      <c r="U76" s="6"/>
    </row>
    <row r="77" spans="1:21" x14ac:dyDescent="0.3">
      <c r="A77" s="14" t="s">
        <v>155</v>
      </c>
      <c r="B77" s="14" t="s">
        <v>156</v>
      </c>
      <c r="C77" s="15">
        <v>8</v>
      </c>
      <c r="D77" s="15">
        <v>8</v>
      </c>
      <c r="E77" s="15"/>
      <c r="F77" s="15"/>
      <c r="G77" s="15">
        <v>8</v>
      </c>
      <c r="H77" s="15">
        <v>8</v>
      </c>
      <c r="I77" s="15">
        <v>8</v>
      </c>
      <c r="J77" s="15">
        <v>8</v>
      </c>
      <c r="K77" s="15">
        <v>8</v>
      </c>
      <c r="L77" s="15"/>
      <c r="M77" s="15"/>
      <c r="N77" s="15">
        <v>8</v>
      </c>
      <c r="O77" s="15">
        <v>8</v>
      </c>
      <c r="P77" s="15">
        <v>8</v>
      </c>
      <c r="Q77" s="15">
        <v>8</v>
      </c>
      <c r="R77" s="16">
        <v>8</v>
      </c>
      <c r="S77" s="17">
        <f t="shared" si="8"/>
        <v>96</v>
      </c>
      <c r="T77" s="18"/>
      <c r="U77" s="6"/>
    </row>
    <row r="78" spans="1:21" x14ac:dyDescent="0.3">
      <c r="A78" s="19" t="s">
        <v>157</v>
      </c>
      <c r="B78" s="14" t="s">
        <v>158</v>
      </c>
      <c r="C78" s="15">
        <v>8</v>
      </c>
      <c r="D78" s="15">
        <v>8</v>
      </c>
      <c r="E78" s="15"/>
      <c r="F78" s="15"/>
      <c r="G78" s="15">
        <v>8</v>
      </c>
      <c r="H78" s="15">
        <v>8</v>
      </c>
      <c r="I78" s="15">
        <v>8</v>
      </c>
      <c r="J78" s="15">
        <v>8</v>
      </c>
      <c r="K78" s="15">
        <v>8</v>
      </c>
      <c r="L78" s="15"/>
      <c r="M78" s="15"/>
      <c r="N78" s="15">
        <v>8</v>
      </c>
      <c r="O78" s="15">
        <v>8</v>
      </c>
      <c r="P78" s="15">
        <v>8</v>
      </c>
      <c r="Q78" s="15">
        <v>8</v>
      </c>
      <c r="R78" s="16">
        <v>8</v>
      </c>
      <c r="S78" s="17">
        <f t="shared" si="8"/>
        <v>96</v>
      </c>
      <c r="T78" s="18"/>
      <c r="U78" s="6"/>
    </row>
    <row r="79" spans="1:21" x14ac:dyDescent="0.3">
      <c r="A79" s="14" t="s">
        <v>159</v>
      </c>
      <c r="B79" s="14" t="s">
        <v>160</v>
      </c>
      <c r="C79" s="15">
        <v>8</v>
      </c>
      <c r="D79" s="15">
        <v>8</v>
      </c>
      <c r="E79" s="15"/>
      <c r="F79" s="15"/>
      <c r="G79" s="15">
        <v>8</v>
      </c>
      <c r="H79" s="15">
        <v>8</v>
      </c>
      <c r="I79" s="15">
        <v>8</v>
      </c>
      <c r="J79" s="15">
        <v>8</v>
      </c>
      <c r="K79" s="15">
        <v>8</v>
      </c>
      <c r="L79" s="15"/>
      <c r="M79" s="15"/>
      <c r="N79" s="15">
        <v>8</v>
      </c>
      <c r="O79" s="15">
        <v>8</v>
      </c>
      <c r="P79" s="15">
        <v>8</v>
      </c>
      <c r="Q79" s="15">
        <v>8</v>
      </c>
      <c r="R79" s="16">
        <v>8</v>
      </c>
      <c r="S79" s="17">
        <f t="shared" si="8"/>
        <v>96</v>
      </c>
      <c r="T79" s="18"/>
      <c r="U79" s="6"/>
    </row>
    <row r="80" spans="1:21" x14ac:dyDescent="0.3">
      <c r="A80" s="14" t="s">
        <v>161</v>
      </c>
      <c r="B80" s="14" t="s">
        <v>162</v>
      </c>
      <c r="C80" s="15">
        <v>8</v>
      </c>
      <c r="D80" s="15">
        <v>8</v>
      </c>
      <c r="E80" s="15"/>
      <c r="F80" s="15"/>
      <c r="G80" s="15">
        <v>8</v>
      </c>
      <c r="H80" s="15">
        <v>8</v>
      </c>
      <c r="I80" s="15"/>
      <c r="J80" s="15"/>
      <c r="K80" s="15"/>
      <c r="L80" s="15"/>
      <c r="M80" s="15"/>
      <c r="N80" s="15"/>
      <c r="O80" s="15"/>
      <c r="P80" s="15"/>
      <c r="Q80" s="15"/>
      <c r="R80" s="16"/>
      <c r="S80" s="17">
        <f t="shared" si="8"/>
        <v>32</v>
      </c>
      <c r="T80" s="18"/>
      <c r="U80" s="6"/>
    </row>
    <row r="81" spans="1:21" x14ac:dyDescent="0.3">
      <c r="A81" s="14" t="s">
        <v>163</v>
      </c>
      <c r="B81" s="14" t="s">
        <v>164</v>
      </c>
      <c r="C81" s="15">
        <v>8</v>
      </c>
      <c r="D81" s="15">
        <v>8</v>
      </c>
      <c r="E81" s="15"/>
      <c r="F81" s="15"/>
      <c r="G81" s="15">
        <v>8</v>
      </c>
      <c r="H81" s="15">
        <v>7.87</v>
      </c>
      <c r="I81" s="15">
        <v>8</v>
      </c>
      <c r="J81" s="15">
        <v>8</v>
      </c>
      <c r="K81" s="15">
        <v>8</v>
      </c>
      <c r="L81" s="15"/>
      <c r="M81" s="15"/>
      <c r="N81" s="15">
        <v>7.84</v>
      </c>
      <c r="O81" s="15">
        <v>8</v>
      </c>
      <c r="P81" s="15">
        <v>7.85</v>
      </c>
      <c r="Q81" s="15">
        <v>8</v>
      </c>
      <c r="R81" s="16">
        <v>8</v>
      </c>
      <c r="S81" s="17">
        <f t="shared" si="8"/>
        <v>95.56</v>
      </c>
      <c r="T81" s="18"/>
      <c r="U81" s="6"/>
    </row>
    <row r="82" spans="1:21" x14ac:dyDescent="0.3">
      <c r="A82" s="14" t="s">
        <v>233</v>
      </c>
      <c r="B82" s="14" t="s">
        <v>234</v>
      </c>
      <c r="C82" s="15">
        <v>8</v>
      </c>
      <c r="D82" s="15">
        <v>8</v>
      </c>
      <c r="E82" s="15"/>
      <c r="F82" s="15"/>
      <c r="G82" s="15">
        <v>8</v>
      </c>
      <c r="H82" s="15">
        <v>5.59</v>
      </c>
      <c r="I82" s="15">
        <v>8</v>
      </c>
      <c r="J82" s="15">
        <v>8</v>
      </c>
      <c r="K82" s="15">
        <v>8</v>
      </c>
      <c r="L82" s="15"/>
      <c r="M82" s="15"/>
      <c r="N82" s="15">
        <v>4.53</v>
      </c>
      <c r="O82" s="15">
        <v>8</v>
      </c>
      <c r="P82" s="15">
        <v>8</v>
      </c>
      <c r="Q82" s="15">
        <v>8</v>
      </c>
      <c r="R82" s="16">
        <v>8</v>
      </c>
      <c r="S82" s="17">
        <f>SUM(C82:R82)-R82</f>
        <v>82.12</v>
      </c>
      <c r="T82" s="18"/>
      <c r="U82" s="6"/>
    </row>
    <row r="83" spans="1:21" x14ac:dyDescent="0.3">
      <c r="A83" s="14" t="s">
        <v>165</v>
      </c>
      <c r="B83" s="14" t="s">
        <v>166</v>
      </c>
      <c r="C83" s="15">
        <v>8</v>
      </c>
      <c r="D83" s="15">
        <v>8</v>
      </c>
      <c r="E83" s="15"/>
      <c r="F83" s="15"/>
      <c r="G83" s="15">
        <v>8</v>
      </c>
      <c r="H83" s="15">
        <v>8</v>
      </c>
      <c r="I83" s="15">
        <v>8</v>
      </c>
      <c r="J83" s="15">
        <v>8</v>
      </c>
      <c r="K83" s="15">
        <v>8</v>
      </c>
      <c r="L83" s="15"/>
      <c r="M83" s="15"/>
      <c r="N83" s="15">
        <v>8</v>
      </c>
      <c r="O83" s="15">
        <v>8</v>
      </c>
      <c r="P83" s="15">
        <v>8</v>
      </c>
      <c r="Q83" s="15">
        <v>8</v>
      </c>
      <c r="R83" s="16">
        <v>8</v>
      </c>
      <c r="S83" s="17">
        <f t="shared" ref="S83:S86" si="9">SUM(C83:R83)</f>
        <v>96</v>
      </c>
      <c r="T83" s="18"/>
      <c r="U83" s="6"/>
    </row>
    <row r="84" spans="1:21" x14ac:dyDescent="0.3">
      <c r="A84" s="14" t="s">
        <v>167</v>
      </c>
      <c r="B84" s="14" t="s">
        <v>168</v>
      </c>
      <c r="C84" s="15">
        <v>7.87</v>
      </c>
      <c r="D84" s="15">
        <v>8</v>
      </c>
      <c r="E84" s="15"/>
      <c r="F84" s="15"/>
      <c r="G84" s="15">
        <v>8</v>
      </c>
      <c r="H84" s="15">
        <v>8</v>
      </c>
      <c r="I84" s="15">
        <v>8</v>
      </c>
      <c r="J84" s="15">
        <v>8</v>
      </c>
      <c r="K84" s="15">
        <v>8</v>
      </c>
      <c r="L84" s="15"/>
      <c r="M84" s="15"/>
      <c r="N84" s="15">
        <v>8</v>
      </c>
      <c r="O84" s="15">
        <v>8</v>
      </c>
      <c r="P84" s="15"/>
      <c r="Q84" s="15">
        <v>8</v>
      </c>
      <c r="R84" s="16">
        <v>8</v>
      </c>
      <c r="S84" s="17">
        <f t="shared" si="9"/>
        <v>87.87</v>
      </c>
      <c r="T84" s="18"/>
      <c r="U84" s="6"/>
    </row>
    <row r="85" spans="1:21" x14ac:dyDescent="0.3">
      <c r="A85" s="19" t="s">
        <v>169</v>
      </c>
      <c r="B85" s="14" t="s">
        <v>170</v>
      </c>
      <c r="C85" s="15">
        <v>8</v>
      </c>
      <c r="D85" s="15">
        <v>8</v>
      </c>
      <c r="E85" s="15"/>
      <c r="F85" s="15"/>
      <c r="G85" s="15">
        <v>8</v>
      </c>
      <c r="H85" s="15">
        <v>8</v>
      </c>
      <c r="I85" s="15">
        <v>8</v>
      </c>
      <c r="J85" s="15">
        <v>8</v>
      </c>
      <c r="K85" s="15">
        <v>8</v>
      </c>
      <c r="L85" s="15"/>
      <c r="M85" s="15"/>
      <c r="N85" s="15">
        <v>8</v>
      </c>
      <c r="O85" s="15">
        <v>8</v>
      </c>
      <c r="P85" s="15">
        <v>8</v>
      </c>
      <c r="Q85" s="15">
        <v>8</v>
      </c>
      <c r="R85" s="16">
        <v>8</v>
      </c>
      <c r="S85" s="17">
        <f t="shared" si="9"/>
        <v>96</v>
      </c>
      <c r="T85" s="18"/>
      <c r="U85" s="6"/>
    </row>
    <row r="86" spans="1:21" x14ac:dyDescent="0.3">
      <c r="A86" s="14" t="s">
        <v>171</v>
      </c>
      <c r="B86" s="14" t="s">
        <v>26</v>
      </c>
      <c r="C86" s="15">
        <v>8</v>
      </c>
      <c r="D86" s="15">
        <v>8</v>
      </c>
      <c r="E86" s="15"/>
      <c r="F86" s="15"/>
      <c r="G86" s="15">
        <v>8</v>
      </c>
      <c r="H86" s="15">
        <v>8</v>
      </c>
      <c r="I86" s="15">
        <v>8</v>
      </c>
      <c r="J86" s="15">
        <v>8</v>
      </c>
      <c r="K86" s="15">
        <v>8</v>
      </c>
      <c r="L86" s="15"/>
      <c r="M86" s="15"/>
      <c r="N86" s="15">
        <v>8</v>
      </c>
      <c r="O86" s="15">
        <v>8</v>
      </c>
      <c r="P86" s="15">
        <v>8</v>
      </c>
      <c r="Q86" s="15">
        <v>8</v>
      </c>
      <c r="R86" s="16">
        <v>8</v>
      </c>
      <c r="S86" s="17">
        <f t="shared" si="9"/>
        <v>96</v>
      </c>
      <c r="T86" s="18"/>
      <c r="U86" s="6"/>
    </row>
    <row r="87" spans="1:21" x14ac:dyDescent="0.3">
      <c r="A87" s="14" t="s">
        <v>209</v>
      </c>
      <c r="B87" s="14" t="s">
        <v>210</v>
      </c>
      <c r="C87" s="15">
        <v>8</v>
      </c>
      <c r="D87" s="15">
        <v>8</v>
      </c>
      <c r="E87" s="15"/>
      <c r="F87" s="15"/>
      <c r="G87" s="15">
        <v>8</v>
      </c>
      <c r="H87" s="15">
        <v>8</v>
      </c>
      <c r="I87" s="15">
        <v>8</v>
      </c>
      <c r="J87" s="15">
        <v>8</v>
      </c>
      <c r="K87" s="15">
        <v>8</v>
      </c>
      <c r="L87" s="15"/>
      <c r="M87" s="15"/>
      <c r="N87" s="15">
        <v>8</v>
      </c>
      <c r="O87" s="15">
        <v>8</v>
      </c>
      <c r="P87" s="15">
        <v>8</v>
      </c>
      <c r="Q87" s="15">
        <v>8</v>
      </c>
      <c r="R87" s="16">
        <v>7.53</v>
      </c>
      <c r="S87" s="17">
        <f>SUM(C87:R87)-R87-D87</f>
        <v>80</v>
      </c>
      <c r="T87" s="18"/>
      <c r="U87" s="6"/>
    </row>
    <row r="88" spans="1:21" x14ac:dyDescent="0.3">
      <c r="A88" s="14" t="s">
        <v>172</v>
      </c>
      <c r="B88" s="14" t="s">
        <v>173</v>
      </c>
      <c r="C88" s="15">
        <v>8</v>
      </c>
      <c r="D88" s="15">
        <v>8</v>
      </c>
      <c r="E88" s="15"/>
      <c r="F88" s="15"/>
      <c r="G88" s="15">
        <v>8</v>
      </c>
      <c r="H88" s="15">
        <v>8</v>
      </c>
      <c r="I88" s="15">
        <v>8</v>
      </c>
      <c r="J88" s="15">
        <v>7.9</v>
      </c>
      <c r="K88" s="15">
        <v>8</v>
      </c>
      <c r="L88" s="15"/>
      <c r="M88" s="15"/>
      <c r="N88" s="15">
        <v>8</v>
      </c>
      <c r="O88" s="15">
        <v>8</v>
      </c>
      <c r="P88" s="15">
        <v>8</v>
      </c>
      <c r="Q88" s="15">
        <v>7.82</v>
      </c>
      <c r="R88" s="16">
        <v>8</v>
      </c>
      <c r="S88" s="17">
        <f t="shared" ref="S88:S98" si="10">SUM(C88:R88)</f>
        <v>95.72</v>
      </c>
      <c r="T88" s="18"/>
      <c r="U88" s="6"/>
    </row>
    <row r="89" spans="1:21" x14ac:dyDescent="0.3">
      <c r="A89" s="14" t="s">
        <v>174</v>
      </c>
      <c r="B89" s="14" t="s">
        <v>175</v>
      </c>
      <c r="C89" s="15">
        <v>8</v>
      </c>
      <c r="D89" s="15">
        <v>8</v>
      </c>
      <c r="E89" s="15"/>
      <c r="F89" s="15"/>
      <c r="G89" s="15">
        <v>8</v>
      </c>
      <c r="H89" s="15">
        <v>8</v>
      </c>
      <c r="I89" s="15">
        <v>8</v>
      </c>
      <c r="J89" s="15">
        <v>8</v>
      </c>
      <c r="K89" s="15">
        <v>8</v>
      </c>
      <c r="L89" s="15"/>
      <c r="M89" s="15"/>
      <c r="N89" s="15">
        <v>8</v>
      </c>
      <c r="O89" s="15">
        <v>8</v>
      </c>
      <c r="P89" s="15">
        <v>8</v>
      </c>
      <c r="Q89" s="15">
        <v>8</v>
      </c>
      <c r="R89" s="16">
        <v>8</v>
      </c>
      <c r="S89" s="17">
        <f t="shared" si="10"/>
        <v>96</v>
      </c>
      <c r="T89" s="18"/>
      <c r="U89" s="6"/>
    </row>
    <row r="90" spans="1:21" x14ac:dyDescent="0.3">
      <c r="A90" s="14" t="s">
        <v>176</v>
      </c>
      <c r="B90" s="14" t="s">
        <v>177</v>
      </c>
      <c r="C90" s="15">
        <v>8</v>
      </c>
      <c r="D90" s="15">
        <v>8</v>
      </c>
      <c r="E90" s="15"/>
      <c r="F90" s="15"/>
      <c r="G90" s="15">
        <v>8</v>
      </c>
      <c r="H90" s="15">
        <v>8</v>
      </c>
      <c r="I90" s="15">
        <v>8</v>
      </c>
      <c r="J90" s="15">
        <v>8</v>
      </c>
      <c r="K90" s="15">
        <v>8</v>
      </c>
      <c r="L90" s="15"/>
      <c r="M90" s="15"/>
      <c r="N90" s="15">
        <v>8</v>
      </c>
      <c r="O90" s="15">
        <v>7.55</v>
      </c>
      <c r="P90" s="15">
        <v>7.42</v>
      </c>
      <c r="Q90" s="15">
        <v>8</v>
      </c>
      <c r="R90" s="16">
        <v>6.35</v>
      </c>
      <c r="S90" s="17">
        <f t="shared" si="10"/>
        <v>93.32</v>
      </c>
      <c r="T90" s="18"/>
      <c r="U90" s="6"/>
    </row>
    <row r="91" spans="1:21" x14ac:dyDescent="0.3">
      <c r="A91" s="14" t="s">
        <v>178</v>
      </c>
      <c r="B91" s="14" t="s">
        <v>179</v>
      </c>
      <c r="C91" s="15">
        <v>8</v>
      </c>
      <c r="D91" s="15">
        <v>8</v>
      </c>
      <c r="E91" s="15"/>
      <c r="F91" s="15"/>
      <c r="G91" s="15">
        <v>8</v>
      </c>
      <c r="H91" s="15">
        <v>8</v>
      </c>
      <c r="I91" s="15">
        <v>8</v>
      </c>
      <c r="J91" s="15"/>
      <c r="K91" s="15"/>
      <c r="L91" s="15"/>
      <c r="M91" s="15"/>
      <c r="N91" s="15"/>
      <c r="O91" s="15"/>
      <c r="P91" s="15">
        <v>8</v>
      </c>
      <c r="Q91" s="15">
        <v>8</v>
      </c>
      <c r="R91" s="16">
        <v>8</v>
      </c>
      <c r="S91" s="17">
        <f t="shared" si="10"/>
        <v>64</v>
      </c>
      <c r="T91" s="18"/>
      <c r="U91" s="6"/>
    </row>
    <row r="92" spans="1:21" x14ac:dyDescent="0.3">
      <c r="A92" s="14" t="s">
        <v>180</v>
      </c>
      <c r="B92" s="14" t="s">
        <v>181</v>
      </c>
      <c r="C92" s="15">
        <v>8</v>
      </c>
      <c r="D92" s="15">
        <v>8</v>
      </c>
      <c r="E92" s="15"/>
      <c r="F92" s="15"/>
      <c r="G92" s="15">
        <v>8</v>
      </c>
      <c r="H92" s="15">
        <v>8</v>
      </c>
      <c r="I92" s="15">
        <v>8</v>
      </c>
      <c r="J92" s="15">
        <v>8</v>
      </c>
      <c r="K92" s="15">
        <v>8</v>
      </c>
      <c r="L92" s="15"/>
      <c r="M92" s="15"/>
      <c r="N92" s="15">
        <v>8</v>
      </c>
      <c r="O92" s="15">
        <v>8</v>
      </c>
      <c r="P92" s="15">
        <v>8</v>
      </c>
      <c r="Q92" s="15">
        <v>8</v>
      </c>
      <c r="R92" s="16">
        <v>8</v>
      </c>
      <c r="S92" s="17">
        <f t="shared" si="10"/>
        <v>96</v>
      </c>
      <c r="T92" s="18"/>
      <c r="U92" s="6"/>
    </row>
    <row r="93" spans="1:21" x14ac:dyDescent="0.3">
      <c r="A93" s="14" t="s">
        <v>182</v>
      </c>
      <c r="B93" s="14" t="s">
        <v>183</v>
      </c>
      <c r="C93" s="15">
        <v>8</v>
      </c>
      <c r="D93" s="15">
        <v>8</v>
      </c>
      <c r="E93" s="15"/>
      <c r="F93" s="15"/>
      <c r="G93" s="15">
        <v>8</v>
      </c>
      <c r="H93" s="15">
        <v>8</v>
      </c>
      <c r="I93" s="15">
        <v>8</v>
      </c>
      <c r="J93" s="15">
        <v>7.95</v>
      </c>
      <c r="K93" s="15">
        <v>8</v>
      </c>
      <c r="L93" s="15"/>
      <c r="M93" s="15"/>
      <c r="N93" s="15"/>
      <c r="O93" s="15"/>
      <c r="P93" s="15">
        <v>8</v>
      </c>
      <c r="Q93" s="15">
        <v>8</v>
      </c>
      <c r="R93" s="16">
        <v>8</v>
      </c>
      <c r="S93" s="17">
        <f t="shared" si="10"/>
        <v>79.95</v>
      </c>
      <c r="T93" s="18"/>
      <c r="U93" s="6"/>
    </row>
    <row r="94" spans="1:21" x14ac:dyDescent="0.3">
      <c r="A94" s="14" t="s">
        <v>184</v>
      </c>
      <c r="B94" s="14" t="s">
        <v>185</v>
      </c>
      <c r="C94" s="15">
        <v>8</v>
      </c>
      <c r="D94" s="15">
        <v>8</v>
      </c>
      <c r="E94" s="15"/>
      <c r="F94" s="15"/>
      <c r="G94" s="15">
        <v>8</v>
      </c>
      <c r="H94" s="15">
        <v>8</v>
      </c>
      <c r="I94" s="15">
        <v>8</v>
      </c>
      <c r="J94" s="15">
        <v>8</v>
      </c>
      <c r="K94" s="15">
        <v>8</v>
      </c>
      <c r="L94" s="15"/>
      <c r="M94" s="15"/>
      <c r="N94" s="15">
        <v>8</v>
      </c>
      <c r="O94" s="15">
        <v>8</v>
      </c>
      <c r="P94" s="15">
        <v>8</v>
      </c>
      <c r="Q94" s="15">
        <v>8</v>
      </c>
      <c r="R94" s="16">
        <v>8</v>
      </c>
      <c r="S94" s="17">
        <f t="shared" si="10"/>
        <v>96</v>
      </c>
      <c r="T94" s="18"/>
      <c r="U94" s="6"/>
    </row>
    <row r="95" spans="1:21" x14ac:dyDescent="0.3">
      <c r="A95" s="14" t="s">
        <v>186</v>
      </c>
      <c r="B95" s="14" t="s">
        <v>187</v>
      </c>
      <c r="C95" s="15">
        <v>7.99</v>
      </c>
      <c r="D95" s="15">
        <v>8</v>
      </c>
      <c r="E95" s="15"/>
      <c r="F95" s="15"/>
      <c r="G95" s="15">
        <v>8</v>
      </c>
      <c r="H95" s="15">
        <v>8</v>
      </c>
      <c r="I95" s="15">
        <v>8</v>
      </c>
      <c r="J95" s="15">
        <v>8</v>
      </c>
      <c r="K95" s="15">
        <v>8</v>
      </c>
      <c r="L95" s="15"/>
      <c r="M95" s="15"/>
      <c r="N95" s="15">
        <v>7.99</v>
      </c>
      <c r="O95" s="15">
        <v>8</v>
      </c>
      <c r="P95" s="15">
        <v>7.99</v>
      </c>
      <c r="Q95" s="15">
        <v>8</v>
      </c>
      <c r="R95" s="16">
        <v>8</v>
      </c>
      <c r="S95" s="17">
        <f t="shared" si="10"/>
        <v>95.97</v>
      </c>
      <c r="T95" s="18"/>
      <c r="U95" s="6"/>
    </row>
    <row r="96" spans="1:21" x14ac:dyDescent="0.3">
      <c r="A96" s="14" t="s">
        <v>188</v>
      </c>
      <c r="B96" s="14" t="s">
        <v>189</v>
      </c>
      <c r="C96" s="15">
        <v>8</v>
      </c>
      <c r="D96" s="15">
        <v>8</v>
      </c>
      <c r="E96" s="15"/>
      <c r="F96" s="15"/>
      <c r="G96" s="15">
        <v>8</v>
      </c>
      <c r="H96" s="15">
        <v>8</v>
      </c>
      <c r="I96" s="15">
        <v>8</v>
      </c>
      <c r="J96" s="15">
        <v>7.98</v>
      </c>
      <c r="K96" s="15">
        <v>8</v>
      </c>
      <c r="L96" s="15"/>
      <c r="M96" s="15"/>
      <c r="N96" s="15">
        <v>8</v>
      </c>
      <c r="O96" s="15">
        <v>8</v>
      </c>
      <c r="P96" s="15">
        <v>8</v>
      </c>
      <c r="Q96" s="15">
        <v>8</v>
      </c>
      <c r="R96" s="16">
        <v>8</v>
      </c>
      <c r="S96" s="17">
        <f t="shared" si="10"/>
        <v>95.98</v>
      </c>
      <c r="T96" s="18"/>
      <c r="U96" s="6"/>
    </row>
    <row r="97" spans="1:23" x14ac:dyDescent="0.3">
      <c r="A97" s="19" t="s">
        <v>190</v>
      </c>
      <c r="B97" s="14" t="s">
        <v>191</v>
      </c>
      <c r="C97" s="15">
        <v>8</v>
      </c>
      <c r="D97" s="15">
        <v>8</v>
      </c>
      <c r="E97" s="15"/>
      <c r="F97" s="15"/>
      <c r="G97" s="15">
        <v>8</v>
      </c>
      <c r="H97" s="15">
        <v>8</v>
      </c>
      <c r="I97" s="15">
        <v>8</v>
      </c>
      <c r="J97" s="15">
        <v>8</v>
      </c>
      <c r="K97" s="15">
        <v>8</v>
      </c>
      <c r="L97" s="15"/>
      <c r="M97" s="15"/>
      <c r="N97" s="15">
        <v>8</v>
      </c>
      <c r="O97" s="15">
        <v>8</v>
      </c>
      <c r="P97" s="15">
        <v>8</v>
      </c>
      <c r="Q97" s="15">
        <v>8</v>
      </c>
      <c r="R97" s="16">
        <v>8</v>
      </c>
      <c r="S97" s="17">
        <f t="shared" si="10"/>
        <v>96</v>
      </c>
      <c r="T97" s="18"/>
      <c r="U97" s="6"/>
    </row>
    <row r="98" spans="1:23" x14ac:dyDescent="0.3">
      <c r="A98" s="14" t="s">
        <v>192</v>
      </c>
      <c r="B98" s="14" t="s">
        <v>193</v>
      </c>
      <c r="C98" s="15">
        <v>8</v>
      </c>
      <c r="D98" s="15">
        <v>8</v>
      </c>
      <c r="E98" s="15"/>
      <c r="F98" s="15"/>
      <c r="G98" s="15">
        <v>8</v>
      </c>
      <c r="H98" s="15">
        <v>8</v>
      </c>
      <c r="I98" s="15">
        <v>8</v>
      </c>
      <c r="J98" s="15">
        <v>8</v>
      </c>
      <c r="K98" s="15">
        <v>8</v>
      </c>
      <c r="L98" s="15"/>
      <c r="M98" s="15"/>
      <c r="N98" s="15">
        <v>8</v>
      </c>
      <c r="O98" s="15">
        <v>8</v>
      </c>
      <c r="P98" s="15">
        <v>8</v>
      </c>
      <c r="Q98" s="15">
        <v>8</v>
      </c>
      <c r="R98" s="16">
        <v>8</v>
      </c>
      <c r="S98" s="17">
        <f t="shared" si="10"/>
        <v>96</v>
      </c>
      <c r="T98" s="18"/>
      <c r="U98" s="6"/>
    </row>
    <row r="99" spans="1:23" x14ac:dyDescent="0.3">
      <c r="A99" s="14" t="s">
        <v>227</v>
      </c>
      <c r="B99" s="14" t="s">
        <v>228</v>
      </c>
      <c r="C99" s="15">
        <v>7.48</v>
      </c>
      <c r="D99" s="15">
        <v>8</v>
      </c>
      <c r="E99" s="15"/>
      <c r="F99" s="15"/>
      <c r="G99" s="15">
        <v>8</v>
      </c>
      <c r="H99" s="15">
        <v>7.88</v>
      </c>
      <c r="I99" s="15">
        <v>7.75</v>
      </c>
      <c r="J99" s="15">
        <v>8</v>
      </c>
      <c r="K99" s="15">
        <v>7.6</v>
      </c>
      <c r="L99" s="15"/>
      <c r="M99" s="15"/>
      <c r="N99" s="15">
        <v>8</v>
      </c>
      <c r="O99" s="15">
        <v>6.92</v>
      </c>
      <c r="P99" s="15">
        <v>4.59</v>
      </c>
      <c r="Q99" s="15">
        <v>7</v>
      </c>
      <c r="R99" s="16">
        <v>8</v>
      </c>
      <c r="S99" s="17">
        <f>SUM(C99:R99)-R99</f>
        <v>81.22</v>
      </c>
      <c r="T99" s="18"/>
      <c r="U99" s="6"/>
    </row>
    <row r="100" spans="1:23" x14ac:dyDescent="0.3">
      <c r="A100" s="14" t="s">
        <v>194</v>
      </c>
      <c r="B100" s="14" t="s">
        <v>195</v>
      </c>
      <c r="C100" s="15">
        <v>8</v>
      </c>
      <c r="D100" s="15">
        <v>8</v>
      </c>
      <c r="E100" s="15"/>
      <c r="F100" s="15"/>
      <c r="G100" s="15">
        <v>8</v>
      </c>
      <c r="H100" s="15">
        <v>8</v>
      </c>
      <c r="I100" s="15">
        <v>8</v>
      </c>
      <c r="J100" s="15">
        <v>8</v>
      </c>
      <c r="K100" s="15">
        <v>8</v>
      </c>
      <c r="L100" s="15"/>
      <c r="M100" s="15"/>
      <c r="N100" s="15">
        <v>8</v>
      </c>
      <c r="O100" s="15">
        <v>8</v>
      </c>
      <c r="P100" s="15">
        <v>8</v>
      </c>
      <c r="Q100" s="15">
        <v>8</v>
      </c>
      <c r="R100" s="16">
        <v>8</v>
      </c>
      <c r="S100" s="17">
        <f t="shared" ref="S100:S104" si="11">SUM(C100:R100)</f>
        <v>96</v>
      </c>
      <c r="T100" s="18"/>
      <c r="U100" s="6"/>
    </row>
    <row r="101" spans="1:23" x14ac:dyDescent="0.3">
      <c r="A101" s="14" t="s">
        <v>196</v>
      </c>
      <c r="B101" s="14" t="s">
        <v>197</v>
      </c>
      <c r="C101" s="15">
        <v>7.98</v>
      </c>
      <c r="D101" s="15">
        <v>7.95</v>
      </c>
      <c r="E101" s="15"/>
      <c r="F101" s="15"/>
      <c r="G101" s="15">
        <v>8</v>
      </c>
      <c r="H101" s="15">
        <v>6.06</v>
      </c>
      <c r="I101" s="15">
        <v>8</v>
      </c>
      <c r="J101" s="15">
        <v>8</v>
      </c>
      <c r="K101" s="15">
        <v>8</v>
      </c>
      <c r="L101" s="15"/>
      <c r="M101" s="15"/>
      <c r="N101" s="15">
        <v>8</v>
      </c>
      <c r="O101" s="15">
        <v>7.99</v>
      </c>
      <c r="P101" s="15">
        <v>8</v>
      </c>
      <c r="Q101" s="15">
        <v>8</v>
      </c>
      <c r="R101" s="16">
        <v>8</v>
      </c>
      <c r="S101" s="17">
        <f t="shared" si="11"/>
        <v>93.97999999999999</v>
      </c>
      <c r="T101" s="18"/>
      <c r="U101" s="6"/>
    </row>
    <row r="102" spans="1:23" x14ac:dyDescent="0.3">
      <c r="A102" s="14" t="s">
        <v>198</v>
      </c>
      <c r="B102" s="14" t="s">
        <v>199</v>
      </c>
      <c r="C102" s="15">
        <v>8</v>
      </c>
      <c r="D102" s="15">
        <v>8</v>
      </c>
      <c r="E102" s="15"/>
      <c r="F102" s="15"/>
      <c r="G102" s="15">
        <v>8</v>
      </c>
      <c r="H102" s="15">
        <v>8</v>
      </c>
      <c r="I102" s="15">
        <v>8</v>
      </c>
      <c r="J102" s="15">
        <v>8</v>
      </c>
      <c r="K102" s="15">
        <v>8</v>
      </c>
      <c r="L102" s="15"/>
      <c r="M102" s="15"/>
      <c r="N102" s="15">
        <v>8</v>
      </c>
      <c r="O102" s="15">
        <v>8</v>
      </c>
      <c r="P102" s="15">
        <v>8</v>
      </c>
      <c r="Q102" s="15">
        <v>7.96</v>
      </c>
      <c r="R102" s="16">
        <v>8</v>
      </c>
      <c r="S102" s="17">
        <f t="shared" si="11"/>
        <v>95.96</v>
      </c>
      <c r="T102" s="18"/>
      <c r="U102" s="6"/>
    </row>
    <row r="103" spans="1:23" x14ac:dyDescent="0.3">
      <c r="A103" s="14" t="s">
        <v>200</v>
      </c>
      <c r="B103" s="14" t="s">
        <v>201</v>
      </c>
      <c r="C103" s="15">
        <v>7.85</v>
      </c>
      <c r="D103" s="15">
        <v>8</v>
      </c>
      <c r="E103" s="15"/>
      <c r="F103" s="15"/>
      <c r="G103" s="15">
        <v>8</v>
      </c>
      <c r="H103" s="15">
        <v>8</v>
      </c>
      <c r="I103" s="15">
        <v>8</v>
      </c>
      <c r="J103" s="15">
        <v>8</v>
      </c>
      <c r="K103" s="15">
        <v>8</v>
      </c>
      <c r="L103" s="15"/>
      <c r="M103" s="15"/>
      <c r="N103" s="15">
        <v>8</v>
      </c>
      <c r="O103" s="15">
        <v>8</v>
      </c>
      <c r="P103" s="15">
        <v>8</v>
      </c>
      <c r="Q103" s="15">
        <v>8</v>
      </c>
      <c r="R103" s="16">
        <v>8</v>
      </c>
      <c r="S103" s="17">
        <f t="shared" si="11"/>
        <v>95.85</v>
      </c>
      <c r="T103" s="18"/>
      <c r="U103" s="6"/>
    </row>
    <row r="104" spans="1:23" x14ac:dyDescent="0.3">
      <c r="A104" s="14" t="s">
        <v>202</v>
      </c>
      <c r="B104" s="14" t="s">
        <v>203</v>
      </c>
      <c r="C104" s="15">
        <v>8</v>
      </c>
      <c r="D104" s="15">
        <v>8</v>
      </c>
      <c r="E104" s="15"/>
      <c r="F104" s="15"/>
      <c r="G104" s="15">
        <v>8</v>
      </c>
      <c r="H104" s="15">
        <v>8</v>
      </c>
      <c r="I104" s="15">
        <v>8</v>
      </c>
      <c r="J104" s="15">
        <v>8</v>
      </c>
      <c r="K104" s="15">
        <v>8</v>
      </c>
      <c r="L104" s="15"/>
      <c r="M104" s="15"/>
      <c r="N104" s="15">
        <v>8</v>
      </c>
      <c r="O104" s="15">
        <v>8</v>
      </c>
      <c r="P104" s="15">
        <v>8</v>
      </c>
      <c r="Q104" s="15">
        <v>8</v>
      </c>
      <c r="R104" s="16">
        <v>8</v>
      </c>
      <c r="S104" s="17">
        <f t="shared" si="11"/>
        <v>96</v>
      </c>
      <c r="T104" s="18"/>
      <c r="U104" s="6"/>
    </row>
    <row r="105" spans="1:23" x14ac:dyDescent="0.3">
      <c r="A105" s="14" t="s">
        <v>211</v>
      </c>
      <c r="B105" s="14" t="s">
        <v>212</v>
      </c>
      <c r="C105" s="15">
        <v>8</v>
      </c>
      <c r="D105" s="15">
        <v>8</v>
      </c>
      <c r="E105" s="15"/>
      <c r="F105" s="15"/>
      <c r="G105" s="15">
        <v>8</v>
      </c>
      <c r="H105" s="15">
        <v>8</v>
      </c>
      <c r="I105" s="15">
        <v>8</v>
      </c>
      <c r="J105" s="15">
        <v>8</v>
      </c>
      <c r="K105" s="15">
        <v>8</v>
      </c>
      <c r="L105" s="15"/>
      <c r="M105" s="15"/>
      <c r="N105" s="15">
        <v>8</v>
      </c>
      <c r="O105" s="15">
        <v>8</v>
      </c>
      <c r="P105" s="15">
        <v>8</v>
      </c>
      <c r="Q105" s="15">
        <v>8</v>
      </c>
      <c r="R105" s="16">
        <v>8</v>
      </c>
      <c r="S105" s="17">
        <f>SUM(C105:R105)-R105</f>
        <v>88</v>
      </c>
      <c r="T105" s="18"/>
      <c r="U105" s="6"/>
    </row>
    <row r="106" spans="1:23" x14ac:dyDescent="0.3">
      <c r="A106" s="14" t="s">
        <v>215</v>
      </c>
      <c r="B106" s="14" t="s">
        <v>216</v>
      </c>
      <c r="C106" s="15">
        <v>8</v>
      </c>
      <c r="D106" s="15">
        <v>8</v>
      </c>
      <c r="E106" s="15"/>
      <c r="F106" s="15"/>
      <c r="G106" s="15">
        <v>6.24</v>
      </c>
      <c r="H106" s="15">
        <v>8</v>
      </c>
      <c r="I106" s="15">
        <v>8</v>
      </c>
      <c r="J106" s="15">
        <v>8</v>
      </c>
      <c r="K106" s="15">
        <v>8</v>
      </c>
      <c r="L106" s="15"/>
      <c r="M106" s="15"/>
      <c r="N106" s="15">
        <v>8</v>
      </c>
      <c r="O106" s="15">
        <v>8</v>
      </c>
      <c r="P106" s="15">
        <v>8</v>
      </c>
      <c r="Q106" s="15">
        <v>8</v>
      </c>
      <c r="R106" s="16">
        <v>8</v>
      </c>
      <c r="S106" s="17">
        <f>SUM(C106:R106)-R106-D106</f>
        <v>78.240000000000009</v>
      </c>
      <c r="T106" s="18"/>
      <c r="U106" s="6"/>
    </row>
    <row r="107" spans="1:23" x14ac:dyDescent="0.3">
      <c r="A107" s="14" t="s">
        <v>204</v>
      </c>
      <c r="B107" s="14" t="s">
        <v>259</v>
      </c>
      <c r="C107" s="15">
        <v>8</v>
      </c>
      <c r="D107" s="15">
        <v>8</v>
      </c>
      <c r="E107" s="15"/>
      <c r="F107" s="15"/>
      <c r="G107" s="15">
        <v>8</v>
      </c>
      <c r="H107" s="15">
        <v>8</v>
      </c>
      <c r="I107" s="15">
        <v>8</v>
      </c>
      <c r="J107" s="15">
        <v>8</v>
      </c>
      <c r="K107" s="15">
        <v>8</v>
      </c>
      <c r="L107" s="15"/>
      <c r="M107" s="15"/>
      <c r="N107" s="15">
        <v>8</v>
      </c>
      <c r="O107" s="15">
        <v>8</v>
      </c>
      <c r="P107" s="15">
        <v>8</v>
      </c>
      <c r="Q107" s="15">
        <v>8</v>
      </c>
      <c r="R107" s="16">
        <v>8</v>
      </c>
      <c r="S107" s="17">
        <f t="shared" ref="S107:S108" si="12">SUM(C107:R107)</f>
        <v>96</v>
      </c>
      <c r="T107" s="18"/>
      <c r="U107" s="6"/>
    </row>
    <row r="108" spans="1:23" x14ac:dyDescent="0.3">
      <c r="A108" s="14" t="s">
        <v>206</v>
      </c>
      <c r="B108" s="14" t="s">
        <v>260</v>
      </c>
      <c r="C108" s="15">
        <v>8</v>
      </c>
      <c r="D108" s="15">
        <v>8</v>
      </c>
      <c r="E108" s="15"/>
      <c r="F108" s="15"/>
      <c r="G108" s="15">
        <v>8</v>
      </c>
      <c r="H108" s="15">
        <v>8</v>
      </c>
      <c r="I108" s="15">
        <v>8</v>
      </c>
      <c r="J108" s="15">
        <v>8</v>
      </c>
      <c r="K108" s="15">
        <v>8</v>
      </c>
      <c r="L108" s="15"/>
      <c r="M108" s="15"/>
      <c r="N108" s="15">
        <v>8</v>
      </c>
      <c r="O108" s="15">
        <v>8</v>
      </c>
      <c r="P108" s="15">
        <v>8</v>
      </c>
      <c r="Q108" s="15">
        <v>8</v>
      </c>
      <c r="R108" s="16">
        <v>8</v>
      </c>
      <c r="S108" s="17">
        <f t="shared" si="12"/>
        <v>96</v>
      </c>
      <c r="T108" s="18"/>
      <c r="U108" s="6"/>
    </row>
    <row r="109" spans="1:23" x14ac:dyDescent="0.3">
      <c r="A109" s="20"/>
      <c r="B109" s="20" t="s">
        <v>253</v>
      </c>
      <c r="C109" s="21">
        <f t="shared" ref="C109:S109" si="13">SUM(C2:C108)</f>
        <v>821.83000000000015</v>
      </c>
      <c r="D109" s="21">
        <f t="shared" si="13"/>
        <v>815.26</v>
      </c>
      <c r="E109" s="21">
        <f t="shared" si="13"/>
        <v>21.5</v>
      </c>
      <c r="F109" s="21">
        <f t="shared" si="13"/>
        <v>15.58</v>
      </c>
      <c r="G109" s="21">
        <f t="shared" si="13"/>
        <v>821.48</v>
      </c>
      <c r="H109" s="21">
        <f t="shared" si="13"/>
        <v>824.94999999999993</v>
      </c>
      <c r="I109" s="21">
        <f t="shared" si="13"/>
        <v>808.32</v>
      </c>
      <c r="J109" s="21">
        <f t="shared" si="13"/>
        <v>810.59</v>
      </c>
      <c r="K109" s="21">
        <f t="shared" si="13"/>
        <v>794.44999999999993</v>
      </c>
      <c r="L109" s="21">
        <f t="shared" si="13"/>
        <v>7.73</v>
      </c>
      <c r="M109" s="21">
        <f t="shared" si="13"/>
        <v>16</v>
      </c>
      <c r="N109" s="21">
        <f t="shared" si="13"/>
        <v>777.85</v>
      </c>
      <c r="O109" s="21">
        <f t="shared" si="13"/>
        <v>789.25999999999988</v>
      </c>
      <c r="P109" s="21">
        <f t="shared" si="13"/>
        <v>805.5200000000001</v>
      </c>
      <c r="Q109" s="21">
        <f t="shared" si="13"/>
        <v>813.0200000000001</v>
      </c>
      <c r="R109" s="21">
        <f t="shared" si="13"/>
        <v>787.06999999999994</v>
      </c>
      <c r="S109" s="22">
        <f t="shared" si="13"/>
        <v>9586.8899999999958</v>
      </c>
      <c r="T109" s="23"/>
      <c r="U109" s="6"/>
      <c r="V109" s="20"/>
      <c r="W109" s="20"/>
    </row>
    <row r="110" spans="1:23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23" x14ac:dyDescent="0.3">
      <c r="A111" s="6"/>
      <c r="B111" s="6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4" spans="1:1" x14ac:dyDescent="0.3">
      <c r="A114" s="14"/>
    </row>
  </sheetData>
  <autoFilter ref="A1:W111" xr:uid="{00000000-0009-0000-0000-000005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3"/>
  <sheetViews>
    <sheetView workbookViewId="0"/>
  </sheetViews>
  <sheetFormatPr defaultColWidth="14.44140625" defaultRowHeight="15" customHeight="1" x14ac:dyDescent="0.3"/>
  <cols>
    <col min="1" max="1" width="34" customWidth="1"/>
    <col min="2" max="2" width="15.88671875" customWidth="1"/>
    <col min="3" max="3" width="7.5546875" customWidth="1"/>
    <col min="4" max="4" width="5.109375" customWidth="1"/>
    <col min="5" max="5" width="11.88671875" customWidth="1"/>
    <col min="6" max="6" width="9.44140625" customWidth="1"/>
    <col min="7" max="25" width="9.109375" customWidth="1"/>
  </cols>
  <sheetData>
    <row r="1" spans="1:26" ht="12" customHeight="1" x14ac:dyDescent="0.3">
      <c r="A1" s="29" t="s">
        <v>264</v>
      </c>
      <c r="B1" s="30"/>
      <c r="C1" s="30"/>
      <c r="D1" s="30"/>
      <c r="E1" s="31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" customHeight="1" x14ac:dyDescent="0.3">
      <c r="A2" s="32" t="e">
        <f>#REF!</f>
        <v>#REF!</v>
      </c>
      <c r="B2" s="32" t="s">
        <v>237</v>
      </c>
      <c r="C2" s="33" t="e">
        <f>VLOOKUP(A3,#REF!,4,0)</f>
        <v>#REF!</v>
      </c>
      <c r="D2" s="33"/>
      <c r="E2" s="34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" customHeight="1" x14ac:dyDescent="0.3">
      <c r="A3" s="35" t="s">
        <v>207</v>
      </c>
      <c r="B3" s="29" t="s">
        <v>238</v>
      </c>
      <c r="C3" s="36" t="e">
        <f>VLOOKUP(A3,#REF!,3,0)</f>
        <v>#REF!</v>
      </c>
      <c r="D3" s="13"/>
      <c r="E3" s="37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2" customHeight="1" x14ac:dyDescent="0.3">
      <c r="A4" s="38"/>
      <c r="B4" s="38" t="s">
        <v>265</v>
      </c>
      <c r="C4" s="39" t="e">
        <f>VLOOKUP(A3,#REF!,13,0)</f>
        <v>#REF!</v>
      </c>
      <c r="D4" s="38"/>
      <c r="E4" s="3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3">
      <c r="A5" s="29"/>
      <c r="B5" s="13"/>
      <c r="C5" s="13"/>
      <c r="D5" s="13"/>
      <c r="E5" s="37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2" customHeight="1" x14ac:dyDescent="0.3">
      <c r="A6" s="29" t="s">
        <v>266</v>
      </c>
      <c r="B6" s="40" t="e">
        <f>VLOOKUP(A3,#REF!,17,0)</f>
        <v>#REF!</v>
      </c>
      <c r="C6" s="13" t="s">
        <v>240</v>
      </c>
      <c r="D6" s="29" t="s">
        <v>239</v>
      </c>
      <c r="E6" s="36" t="e">
        <f>VLOOKUP(A3,#REF!,18,0)</f>
        <v>#REF!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" customHeight="1" x14ac:dyDescent="0.3">
      <c r="A7" s="29" t="s">
        <v>8</v>
      </c>
      <c r="B7" s="40" t="e">
        <f>VLOOKUP(A3,#REF!,20,0)</f>
        <v>#REF!</v>
      </c>
      <c r="C7" s="13" t="s">
        <v>240</v>
      </c>
      <c r="D7" s="29"/>
      <c r="E7" s="36" t="e">
        <f>VLOOKUP(A3,#REF!,21,0)</f>
        <v>#REF!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" customHeight="1" x14ac:dyDescent="0.3">
      <c r="A8" s="29" t="s">
        <v>267</v>
      </c>
      <c r="B8" s="40" t="e">
        <f>VLOOKUP(A3,#REF!,26,0)</f>
        <v>#REF!</v>
      </c>
      <c r="C8" s="13" t="s">
        <v>240</v>
      </c>
      <c r="D8" s="29"/>
      <c r="E8" s="36" t="e">
        <f>VLOOKUP(A3,#REF!,27,0)</f>
        <v>#REF!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" customHeight="1" x14ac:dyDescent="0.3">
      <c r="A9" s="29" t="s">
        <v>268</v>
      </c>
      <c r="B9" s="12" t="e">
        <f>VLOOKUP(A3,#REF!,28,0)</f>
        <v>#REF!</v>
      </c>
      <c r="C9" s="13" t="s">
        <v>240</v>
      </c>
      <c r="D9" s="29"/>
      <c r="E9" s="36" t="e">
        <f>VLOOKUP(A3,#REF!,29,0)</f>
        <v>#REF!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" customHeight="1" x14ac:dyDescent="0.3">
      <c r="A10" s="29" t="s">
        <v>269</v>
      </c>
      <c r="B10" s="40" t="e">
        <f>VLOOKUP(A3,#REF!,30,0)</f>
        <v>#REF!</v>
      </c>
      <c r="C10" s="13" t="s">
        <v>240</v>
      </c>
      <c r="D10" s="13"/>
      <c r="E10" s="36" t="e">
        <f>VLOOKUP(A3,#REF!,31,0)</f>
        <v>#REF!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" customHeight="1" x14ac:dyDescent="0.3">
      <c r="A11" s="29" t="s">
        <v>270</v>
      </c>
      <c r="B11" s="41" t="e">
        <f>VLOOKUP(A3,#REF!,32,0)</f>
        <v>#REF!</v>
      </c>
      <c r="C11" s="13" t="s">
        <v>240</v>
      </c>
      <c r="D11" s="13"/>
      <c r="E11" s="36" t="e">
        <f>VLOOKUP(A3,#REF!,33,0)</f>
        <v>#REF!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2" customHeight="1" x14ac:dyDescent="0.3">
      <c r="A12" s="29" t="s">
        <v>271</v>
      </c>
      <c r="B12" s="40" t="e">
        <f>VLOOKUP(A3,#REF!,36,0)</f>
        <v>#REF!</v>
      </c>
      <c r="C12" s="13" t="s">
        <v>240</v>
      </c>
      <c r="D12" s="13"/>
      <c r="E12" s="36" t="e">
        <f>VLOOKUP(A3,#REF!,37,0)</f>
        <v>#REF!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" customHeight="1" x14ac:dyDescent="0.3">
      <c r="A13" s="29" t="s">
        <v>272</v>
      </c>
      <c r="B13" s="40" t="e">
        <f>VLOOKUP(A3,#REF!,38,0)</f>
        <v>#REF!</v>
      </c>
      <c r="C13" s="13" t="s">
        <v>240</v>
      </c>
      <c r="D13" s="13"/>
      <c r="E13" s="36" t="e">
        <f>VLOOKUP(A3,#REF!,39,0)</f>
        <v>#REF!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2" customHeight="1" x14ac:dyDescent="0.3">
      <c r="A14" s="29" t="s">
        <v>273</v>
      </c>
      <c r="B14" s="40" t="e">
        <f>VLOOKUP(A3,#REF!,40,0)</f>
        <v>#REF!</v>
      </c>
      <c r="C14" s="13" t="s">
        <v>240</v>
      </c>
      <c r="D14" s="13"/>
      <c r="E14" s="36" t="e">
        <f>VLOOKUP(A3,#REF!,41,0)</f>
        <v>#REF!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2" customHeight="1" x14ac:dyDescent="0.3">
      <c r="A15" s="29" t="s">
        <v>274</v>
      </c>
      <c r="B15" s="40" t="e">
        <f>VLOOKUP(A3,#REF!,46,0)</f>
        <v>#REF!</v>
      </c>
      <c r="C15" s="13" t="s">
        <v>275</v>
      </c>
      <c r="D15" s="13"/>
      <c r="E15" s="36" t="e">
        <f>VLOOKUP(A3,#REF!,47,0)</f>
        <v>#REF!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2" customHeight="1" x14ac:dyDescent="0.3">
      <c r="A16" s="29" t="s">
        <v>3</v>
      </c>
      <c r="B16" s="42" t="e">
        <f>VLOOKUP(A3,#REF!,42,0)</f>
        <v>#REF!</v>
      </c>
      <c r="C16" s="13" t="s">
        <v>240</v>
      </c>
      <c r="D16" s="13"/>
      <c r="E16" s="36" t="e">
        <f>VLOOKUP(A3,#REF!,43,0)</f>
        <v>#REF!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" customHeight="1" x14ac:dyDescent="0.3">
      <c r="A17" s="29" t="s">
        <v>4</v>
      </c>
      <c r="B17" s="12"/>
      <c r="C17" s="13"/>
      <c r="D17" s="13"/>
      <c r="E17" s="36" t="e">
        <f>VLOOKUP(A3,#REF!,45,0)</f>
        <v>#REF!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" customHeight="1" x14ac:dyDescent="0.3">
      <c r="A18" s="29" t="s">
        <v>9</v>
      </c>
      <c r="B18" s="12"/>
      <c r="C18" s="13"/>
      <c r="D18" s="13"/>
      <c r="E18" s="36" t="e">
        <f>VLOOKUP(A3,#REF!,48,0)</f>
        <v>#REF!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" customHeight="1" x14ac:dyDescent="0.3">
      <c r="A19" s="29" t="s">
        <v>208</v>
      </c>
      <c r="B19" s="12"/>
      <c r="C19" s="13"/>
      <c r="D19" s="13"/>
      <c r="E19" s="36" t="e">
        <f>VLOOKUP(A3,#REF!,49,0)</f>
        <v>#REF!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" customHeight="1" x14ac:dyDescent="0.3">
      <c r="A20" s="29" t="s">
        <v>10</v>
      </c>
      <c r="B20" s="12"/>
      <c r="C20" s="13"/>
      <c r="D20" s="13"/>
      <c r="E20" s="36" t="e">
        <f>VLOOKUP(A3,#REF!,50,0)</f>
        <v>#REF!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" customHeight="1" x14ac:dyDescent="0.3">
      <c r="A21" s="29" t="s">
        <v>11</v>
      </c>
      <c r="B21" s="12"/>
      <c r="C21" s="13"/>
      <c r="D21" s="13"/>
      <c r="E21" s="36" t="e">
        <f>VLOOKUP(A3,#REF!,51,0)</f>
        <v>#REF!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4.4" x14ac:dyDescent="0.3">
      <c r="A22" s="29" t="s">
        <v>241</v>
      </c>
      <c r="B22" s="13"/>
      <c r="C22" s="13"/>
      <c r="D22" s="29"/>
      <c r="E22" s="36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" customHeight="1" x14ac:dyDescent="0.3">
      <c r="A23" s="29" t="s">
        <v>276</v>
      </c>
      <c r="B23" s="12"/>
      <c r="C23" s="13"/>
      <c r="D23" s="13"/>
      <c r="E23" s="36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" customHeight="1" x14ac:dyDescent="0.3">
      <c r="A24" s="29" t="s">
        <v>12</v>
      </c>
      <c r="B24" s="13"/>
      <c r="C24" s="13"/>
      <c r="D24" s="13"/>
      <c r="E24" s="36" t="e">
        <f>VLOOKUP(A3,#REF!,52,0)</f>
        <v>#REF!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" customHeight="1" x14ac:dyDescent="0.3">
      <c r="A25" s="29"/>
      <c r="B25" s="13"/>
      <c r="C25" s="13"/>
      <c r="D25" s="29"/>
      <c r="E25" s="36" t="e">
        <f>VLOOKUP(A3,#REF!,53,0)</f>
        <v>#REF!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6.5" customHeight="1" x14ac:dyDescent="0.3">
      <c r="A26" s="29" t="s">
        <v>242</v>
      </c>
      <c r="B26" s="13"/>
      <c r="C26" s="13"/>
      <c r="D26" s="32" t="s">
        <v>239</v>
      </c>
      <c r="E26" s="43" t="e">
        <f>ROUND(SUM(E6:E25),2)</f>
        <v>#REF!</v>
      </c>
      <c r="F26" s="37" t="e">
        <f>VLOOKUP(A3,#REF!,54,0)</f>
        <v>#REF!</v>
      </c>
      <c r="G26" s="37" t="e">
        <f>E26-F26</f>
        <v>#REF!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" customHeight="1" x14ac:dyDescent="0.3">
      <c r="A27" s="29" t="s">
        <v>243</v>
      </c>
      <c r="B27" s="13"/>
      <c r="C27" s="13"/>
      <c r="D27" s="13"/>
      <c r="E27" s="37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" customHeight="1" x14ac:dyDescent="0.3">
      <c r="A28" s="29" t="s">
        <v>13</v>
      </c>
      <c r="B28" s="13"/>
      <c r="C28" s="13"/>
      <c r="D28" s="13"/>
      <c r="E28" s="37" t="e">
        <f>VLOOKUP(A3,#REF!,55,0)</f>
        <v>#REF!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" customHeight="1" x14ac:dyDescent="0.3">
      <c r="A29" s="29" t="s">
        <v>244</v>
      </c>
      <c r="B29" s="13"/>
      <c r="C29" s="13"/>
      <c r="D29" s="13"/>
      <c r="E29" s="37" t="e">
        <f>VLOOKUP(A3,#REF!,56,0)</f>
        <v>#REF!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" customHeight="1" x14ac:dyDescent="0.3">
      <c r="A30" s="29" t="s">
        <v>14</v>
      </c>
      <c r="B30" s="13"/>
      <c r="C30" s="13"/>
      <c r="D30" s="13"/>
      <c r="E30" s="37" t="e">
        <f>VLOOKUP(A3,#REF!,57,0)</f>
        <v>#REF!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" customHeight="1" x14ac:dyDescent="0.3">
      <c r="A31" s="29" t="s">
        <v>15</v>
      </c>
      <c r="B31" s="13"/>
      <c r="C31" s="13"/>
      <c r="D31" s="13"/>
      <c r="E31" s="37" t="e">
        <f>VLOOKUP(A3,#REF!,58,0)</f>
        <v>#REF!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" customHeight="1" x14ac:dyDescent="0.3">
      <c r="A32" s="29" t="s">
        <v>16</v>
      </c>
      <c r="B32" s="13"/>
      <c r="C32" s="13"/>
      <c r="D32" s="13"/>
      <c r="E32" s="37" t="e">
        <f>VLOOKUP(A3,#REF!,59,0)</f>
        <v>#REF!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" customHeight="1" x14ac:dyDescent="0.3">
      <c r="A33" s="29" t="s">
        <v>277</v>
      </c>
      <c r="B33" s="13"/>
      <c r="C33" s="13"/>
      <c r="D33" s="13"/>
      <c r="E33" s="37" t="e">
        <f>VLOOKUP(A3,#REF!,60,0)</f>
        <v>#REF!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" customHeight="1" x14ac:dyDescent="0.3">
      <c r="A34" s="29" t="s">
        <v>17</v>
      </c>
      <c r="B34" s="13"/>
      <c r="C34" s="13"/>
      <c r="D34" s="13"/>
      <c r="E34" s="37" t="e">
        <f>VLOOKUP(A3,#REF!,61,0)</f>
        <v>#REF!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" customHeight="1" x14ac:dyDescent="0.3">
      <c r="A35" s="29" t="s">
        <v>18</v>
      </c>
      <c r="B35" s="13"/>
      <c r="C35" s="13"/>
      <c r="D35" s="13"/>
      <c r="E35" s="37" t="e">
        <f>VLOOKUP(A3,#REF!,63,0)</f>
        <v>#REF!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" customHeight="1" x14ac:dyDescent="0.3">
      <c r="A36" s="29" t="s">
        <v>245</v>
      </c>
      <c r="B36" s="13"/>
      <c r="C36" s="13"/>
      <c r="D36" s="13"/>
      <c r="E36" s="37" t="e">
        <f>VLOOKUP(A3,#REF!,64,0)</f>
        <v>#REF!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" customHeight="1" x14ac:dyDescent="0.3">
      <c r="A37" s="29" t="s">
        <v>278</v>
      </c>
      <c r="B37" s="13"/>
      <c r="C37" s="13"/>
      <c r="D37" s="13"/>
      <c r="E37" s="37" t="e">
        <f>VLOOKUP(A3,#REF!,62,0)</f>
        <v>#REF!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" customHeight="1" x14ac:dyDescent="0.3">
      <c r="A38" s="29" t="s">
        <v>19</v>
      </c>
      <c r="B38" s="13"/>
      <c r="C38" s="13"/>
      <c r="D38" s="13"/>
      <c r="E38" s="37" t="e">
        <f>VLOOKUP(A3,#REF!,65,0)</f>
        <v>#REF!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" customHeight="1" x14ac:dyDescent="0.3">
      <c r="A39" s="29" t="s">
        <v>246</v>
      </c>
      <c r="B39" s="13"/>
      <c r="C39" s="13"/>
      <c r="D39" s="13"/>
      <c r="E39" s="36" t="e">
        <f>VLOOKUP(A3,#REF!,66,0)</f>
        <v>#REF!</v>
      </c>
      <c r="F39" s="13"/>
      <c r="G39" s="13"/>
      <c r="H39" s="13"/>
      <c r="I39" s="44" t="e">
        <f>VLOOKUP(A3,#REF!,64,0)</f>
        <v>#REF!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" customHeight="1" x14ac:dyDescent="0.3">
      <c r="A40" s="29" t="s">
        <v>247</v>
      </c>
      <c r="B40" s="13"/>
      <c r="C40" s="13"/>
      <c r="D40" s="32" t="s">
        <v>239</v>
      </c>
      <c r="E40" s="43" t="e">
        <f>SUM(E28:E39)</f>
        <v>#REF!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" customHeight="1" x14ac:dyDescent="0.3">
      <c r="A41" s="29" t="s">
        <v>20</v>
      </c>
      <c r="B41" s="13"/>
      <c r="C41" s="13"/>
      <c r="D41" s="45" t="s">
        <v>239</v>
      </c>
      <c r="E41" s="46" t="e">
        <f>ROUND((E26-E40),2)</f>
        <v>#REF!</v>
      </c>
      <c r="F41" s="44" t="e">
        <f>VLOOKUP(A3,#REF!,68,0)</f>
        <v>#REF!</v>
      </c>
      <c r="G41" s="37" t="e">
        <f>E41-F41</f>
        <v>#REF!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" customHeight="1" x14ac:dyDescent="0.3">
      <c r="A42" s="13"/>
      <c r="B42" s="13"/>
      <c r="C42" s="13"/>
      <c r="D42" s="13"/>
      <c r="E42" s="37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" customHeight="1" x14ac:dyDescent="0.3">
      <c r="A43" s="29" t="s">
        <v>248</v>
      </c>
      <c r="B43" s="13"/>
      <c r="C43" s="13"/>
      <c r="D43" s="13"/>
      <c r="E43" s="37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" hidden="1" customHeight="1" x14ac:dyDescent="0.3">
      <c r="A44" s="29"/>
      <c r="B44" s="13"/>
      <c r="C44" s="13"/>
      <c r="D44" s="13"/>
      <c r="E44" s="37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" customHeight="1" x14ac:dyDescent="0.3">
      <c r="A45" s="75" t="s">
        <v>249</v>
      </c>
      <c r="B45" s="76"/>
      <c r="C45" s="76"/>
      <c r="D45" s="76"/>
      <c r="E45" s="76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" customHeight="1" x14ac:dyDescent="0.3">
      <c r="A46" s="13"/>
      <c r="B46" s="13" t="s">
        <v>250</v>
      </c>
      <c r="C46" s="13"/>
      <c r="D46" s="13"/>
      <c r="E46" s="37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3">
      <c r="A47" s="13"/>
      <c r="B47" s="77" t="str">
        <f>A3</f>
        <v xml:space="preserve">Yendy Christian Sevilla </v>
      </c>
      <c r="C47" s="78"/>
      <c r="D47" s="78"/>
      <c r="E47" s="78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" customHeight="1" x14ac:dyDescent="0.3">
      <c r="A48" s="13"/>
      <c r="B48" s="79" t="s">
        <v>251</v>
      </c>
      <c r="C48" s="74"/>
      <c r="D48" s="74"/>
      <c r="E48" s="74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" customHeight="1" x14ac:dyDescent="0.3">
      <c r="A49" s="13"/>
      <c r="B49" s="29"/>
      <c r="C49" s="13"/>
      <c r="D49" s="13"/>
      <c r="E49" s="37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" customHeight="1" x14ac:dyDescent="0.3">
      <c r="A50" s="13"/>
      <c r="B50" s="13"/>
      <c r="C50" s="13"/>
      <c r="D50" s="13"/>
      <c r="E50" s="37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" customHeight="1" x14ac:dyDescent="0.3">
      <c r="A51" s="13"/>
      <c r="B51" s="13"/>
      <c r="C51" s="13"/>
      <c r="D51" s="13"/>
      <c r="E51" s="37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" customHeight="1" x14ac:dyDescent="0.3">
      <c r="A52" s="13"/>
      <c r="B52" s="13"/>
      <c r="C52" s="13"/>
      <c r="D52" s="13"/>
      <c r="E52" s="37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" customHeight="1" x14ac:dyDescent="0.3">
      <c r="A53" s="13"/>
      <c r="B53" s="13"/>
      <c r="C53" s="13"/>
      <c r="D53" s="13"/>
      <c r="E53" s="37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" customHeight="1" x14ac:dyDescent="0.3">
      <c r="A54" s="13"/>
      <c r="B54" s="13"/>
      <c r="C54" s="13"/>
      <c r="D54" s="13"/>
      <c r="E54" s="37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" customHeight="1" x14ac:dyDescent="0.3">
      <c r="A55" s="13"/>
      <c r="B55" s="13"/>
      <c r="C55" s="13"/>
      <c r="D55" s="13"/>
      <c r="E55" s="37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" customHeight="1" x14ac:dyDescent="0.3">
      <c r="A56" s="13"/>
      <c r="B56" s="13"/>
      <c r="C56" s="13"/>
      <c r="D56" s="13"/>
      <c r="E56" s="37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" customHeight="1" x14ac:dyDescent="0.3">
      <c r="A57" s="13"/>
      <c r="B57" s="13"/>
      <c r="C57" s="13"/>
      <c r="D57" s="13"/>
      <c r="E57" s="37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" customHeight="1" x14ac:dyDescent="0.3">
      <c r="A58" s="13"/>
      <c r="B58" s="13"/>
      <c r="C58" s="13"/>
      <c r="D58" s="13"/>
      <c r="E58" s="37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" customHeight="1" x14ac:dyDescent="0.3">
      <c r="A59" s="13"/>
      <c r="B59" s="13"/>
      <c r="C59" s="13"/>
      <c r="D59" s="13"/>
      <c r="E59" s="37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" customHeight="1" x14ac:dyDescent="0.3">
      <c r="A60" s="13"/>
      <c r="B60" s="13"/>
      <c r="C60" s="13"/>
      <c r="D60" s="13"/>
      <c r="E60" s="37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" customHeight="1" x14ac:dyDescent="0.3">
      <c r="A61" s="13"/>
      <c r="B61" s="13"/>
      <c r="C61" s="13"/>
      <c r="D61" s="13"/>
      <c r="E61" s="37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" customHeight="1" x14ac:dyDescent="0.3">
      <c r="A62" s="13"/>
      <c r="B62" s="13"/>
      <c r="C62" s="13"/>
      <c r="D62" s="13"/>
      <c r="E62" s="37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" customHeight="1" x14ac:dyDescent="0.3">
      <c r="A63" s="13"/>
      <c r="B63" s="13"/>
      <c r="C63" s="13"/>
      <c r="D63" s="13"/>
      <c r="E63" s="37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" customHeight="1" x14ac:dyDescent="0.3">
      <c r="A64" s="13"/>
      <c r="B64" s="13"/>
      <c r="C64" s="13"/>
      <c r="D64" s="13"/>
      <c r="E64" s="37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" customHeight="1" x14ac:dyDescent="0.3">
      <c r="A65" s="13"/>
      <c r="B65" s="13"/>
      <c r="C65" s="13"/>
      <c r="D65" s="13"/>
      <c r="E65" s="37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" customHeight="1" x14ac:dyDescent="0.3">
      <c r="A66" s="13"/>
      <c r="B66" s="13"/>
      <c r="C66" s="13"/>
      <c r="D66" s="13"/>
      <c r="E66" s="37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" customHeight="1" x14ac:dyDescent="0.3">
      <c r="A67" s="13"/>
      <c r="B67" s="13"/>
      <c r="C67" s="13"/>
      <c r="D67" s="13"/>
      <c r="E67" s="37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" customHeight="1" x14ac:dyDescent="0.3">
      <c r="A68" s="13"/>
      <c r="B68" s="13"/>
      <c r="C68" s="13"/>
      <c r="D68" s="13"/>
      <c r="E68" s="37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" customHeight="1" x14ac:dyDescent="0.3">
      <c r="A69" s="13"/>
      <c r="B69" s="13"/>
      <c r="C69" s="13"/>
      <c r="D69" s="13"/>
      <c r="E69" s="37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" customHeight="1" x14ac:dyDescent="0.3">
      <c r="A70" s="13"/>
      <c r="B70" s="13"/>
      <c r="C70" s="13"/>
      <c r="D70" s="13"/>
      <c r="E70" s="37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" customHeight="1" x14ac:dyDescent="0.3">
      <c r="A71" s="13"/>
      <c r="B71" s="13"/>
      <c r="C71" s="13"/>
      <c r="D71" s="13"/>
      <c r="E71" s="37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" customHeight="1" x14ac:dyDescent="0.3">
      <c r="A72" s="13"/>
      <c r="B72" s="13"/>
      <c r="C72" s="13"/>
      <c r="D72" s="13"/>
      <c r="E72" s="37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" customHeight="1" x14ac:dyDescent="0.3">
      <c r="A73" s="13"/>
      <c r="B73" s="13"/>
      <c r="C73" s="13"/>
      <c r="D73" s="13"/>
      <c r="E73" s="37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" customHeight="1" x14ac:dyDescent="0.3">
      <c r="A74" s="13"/>
      <c r="B74" s="13"/>
      <c r="C74" s="13"/>
      <c r="D74" s="13"/>
      <c r="E74" s="37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" customHeight="1" x14ac:dyDescent="0.3">
      <c r="A75" s="13"/>
      <c r="B75" s="13"/>
      <c r="C75" s="13"/>
      <c r="D75" s="13"/>
      <c r="E75" s="37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" customHeight="1" x14ac:dyDescent="0.3">
      <c r="A76" s="13"/>
      <c r="B76" s="13"/>
      <c r="C76" s="13"/>
      <c r="D76" s="13"/>
      <c r="E76" s="37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" customHeight="1" x14ac:dyDescent="0.3">
      <c r="A77" s="13"/>
      <c r="B77" s="13"/>
      <c r="C77" s="13"/>
      <c r="D77" s="13"/>
      <c r="E77" s="37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" customHeight="1" x14ac:dyDescent="0.3">
      <c r="A78" s="13"/>
      <c r="B78" s="13"/>
      <c r="C78" s="13"/>
      <c r="D78" s="13"/>
      <c r="E78" s="37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" customHeight="1" x14ac:dyDescent="0.3">
      <c r="A79" s="13"/>
      <c r="B79" s="13"/>
      <c r="C79" s="13"/>
      <c r="D79" s="13"/>
      <c r="E79" s="37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" customHeight="1" x14ac:dyDescent="0.3">
      <c r="A80" s="13"/>
      <c r="B80" s="13"/>
      <c r="C80" s="13"/>
      <c r="D80" s="13"/>
      <c r="E80" s="37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" customHeight="1" x14ac:dyDescent="0.3">
      <c r="A81" s="13"/>
      <c r="B81" s="13"/>
      <c r="C81" s="13"/>
      <c r="D81" s="13"/>
      <c r="E81" s="37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" customHeight="1" x14ac:dyDescent="0.3">
      <c r="A82" s="13"/>
      <c r="B82" s="13"/>
      <c r="C82" s="13"/>
      <c r="D82" s="13"/>
      <c r="E82" s="37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" customHeight="1" x14ac:dyDescent="0.3">
      <c r="A83" s="13"/>
      <c r="B83" s="13"/>
      <c r="C83" s="13"/>
      <c r="D83" s="13"/>
      <c r="E83" s="37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" customHeight="1" x14ac:dyDescent="0.3">
      <c r="A84" s="13"/>
      <c r="B84" s="13"/>
      <c r="C84" s="13"/>
      <c r="D84" s="13"/>
      <c r="E84" s="37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" customHeight="1" x14ac:dyDescent="0.3">
      <c r="A85" s="13"/>
      <c r="B85" s="13"/>
      <c r="C85" s="13"/>
      <c r="D85" s="13"/>
      <c r="E85" s="37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" customHeight="1" x14ac:dyDescent="0.3">
      <c r="A86" s="13"/>
      <c r="B86" s="13"/>
      <c r="C86" s="13"/>
      <c r="D86" s="13"/>
      <c r="E86" s="37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" customHeight="1" x14ac:dyDescent="0.3">
      <c r="A87" s="13"/>
      <c r="B87" s="13"/>
      <c r="C87" s="13"/>
      <c r="D87" s="13"/>
      <c r="E87" s="37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" customHeight="1" x14ac:dyDescent="0.3">
      <c r="A88" s="13"/>
      <c r="B88" s="13"/>
      <c r="C88" s="13"/>
      <c r="D88" s="13"/>
      <c r="E88" s="37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" customHeight="1" x14ac:dyDescent="0.3">
      <c r="A89" s="13"/>
      <c r="B89" s="13"/>
      <c r="C89" s="13"/>
      <c r="D89" s="13"/>
      <c r="E89" s="37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" customHeight="1" x14ac:dyDescent="0.3">
      <c r="A90" s="13"/>
      <c r="B90" s="13"/>
      <c r="C90" s="13"/>
      <c r="D90" s="13"/>
      <c r="E90" s="37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" customHeight="1" x14ac:dyDescent="0.3">
      <c r="A91" s="13"/>
      <c r="B91" s="13"/>
      <c r="C91" s="13"/>
      <c r="D91" s="13"/>
      <c r="E91" s="37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" customHeight="1" x14ac:dyDescent="0.3">
      <c r="A92" s="13"/>
      <c r="B92" s="13"/>
      <c r="C92" s="13"/>
      <c r="D92" s="13"/>
      <c r="E92" s="37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" customHeight="1" x14ac:dyDescent="0.3">
      <c r="A93" s="13"/>
      <c r="B93" s="13"/>
      <c r="C93" s="13"/>
      <c r="D93" s="13"/>
      <c r="E93" s="37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" customHeight="1" x14ac:dyDescent="0.3">
      <c r="A94" s="13"/>
      <c r="B94" s="13"/>
      <c r="C94" s="13"/>
      <c r="D94" s="13"/>
      <c r="E94" s="37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" customHeight="1" x14ac:dyDescent="0.3">
      <c r="A95" s="13"/>
      <c r="B95" s="13"/>
      <c r="C95" s="13"/>
      <c r="D95" s="13"/>
      <c r="E95" s="37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" customHeight="1" x14ac:dyDescent="0.3">
      <c r="A96" s="13"/>
      <c r="B96" s="13"/>
      <c r="C96" s="13"/>
      <c r="D96" s="13"/>
      <c r="E96" s="37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" customHeight="1" x14ac:dyDescent="0.3">
      <c r="A97" s="13"/>
      <c r="B97" s="13"/>
      <c r="C97" s="13"/>
      <c r="D97" s="13"/>
      <c r="E97" s="37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" customHeight="1" x14ac:dyDescent="0.3">
      <c r="A98" s="13"/>
      <c r="B98" s="13"/>
      <c r="C98" s="13"/>
      <c r="D98" s="13"/>
      <c r="E98" s="37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" customHeight="1" x14ac:dyDescent="0.3">
      <c r="A99" s="13"/>
      <c r="B99" s="13"/>
      <c r="C99" s="13"/>
      <c r="D99" s="13"/>
      <c r="E99" s="37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" customHeight="1" x14ac:dyDescent="0.3">
      <c r="A100" s="13"/>
      <c r="B100" s="13"/>
      <c r="C100" s="13"/>
      <c r="D100" s="13"/>
      <c r="E100" s="37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" customHeight="1" x14ac:dyDescent="0.3">
      <c r="A101" s="13"/>
      <c r="B101" s="13"/>
      <c r="C101" s="13"/>
      <c r="D101" s="13"/>
      <c r="E101" s="37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" customHeight="1" x14ac:dyDescent="0.3">
      <c r="A102" s="13"/>
      <c r="B102" s="13"/>
      <c r="C102" s="13"/>
      <c r="D102" s="13"/>
      <c r="E102" s="37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" customHeight="1" x14ac:dyDescent="0.3">
      <c r="A103" s="13"/>
      <c r="B103" s="13"/>
      <c r="C103" s="13"/>
      <c r="D103" s="13"/>
      <c r="E103" s="37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" customHeight="1" x14ac:dyDescent="0.3">
      <c r="A104" s="13"/>
      <c r="B104" s="13"/>
      <c r="C104" s="13"/>
      <c r="D104" s="13"/>
      <c r="E104" s="37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" customHeight="1" x14ac:dyDescent="0.3">
      <c r="A105" s="13"/>
      <c r="B105" s="13"/>
      <c r="C105" s="13"/>
      <c r="D105" s="13"/>
      <c r="E105" s="37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" customHeight="1" x14ac:dyDescent="0.3">
      <c r="A106" s="13"/>
      <c r="B106" s="13"/>
      <c r="C106" s="13"/>
      <c r="D106" s="13"/>
      <c r="E106" s="37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" customHeight="1" x14ac:dyDescent="0.3">
      <c r="A107" s="13"/>
      <c r="B107" s="13"/>
      <c r="C107" s="13"/>
      <c r="D107" s="13"/>
      <c r="E107" s="37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" customHeight="1" x14ac:dyDescent="0.3">
      <c r="A108" s="13"/>
      <c r="B108" s="13"/>
      <c r="C108" s="13"/>
      <c r="D108" s="13"/>
      <c r="E108" s="37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" customHeight="1" x14ac:dyDescent="0.3">
      <c r="A109" s="13"/>
      <c r="B109" s="13"/>
      <c r="C109" s="13"/>
      <c r="D109" s="13"/>
      <c r="E109" s="37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" customHeight="1" x14ac:dyDescent="0.3">
      <c r="A110" s="13"/>
      <c r="B110" s="13"/>
      <c r="C110" s="13"/>
      <c r="D110" s="13"/>
      <c r="E110" s="37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" customHeight="1" x14ac:dyDescent="0.3">
      <c r="A111" s="13"/>
      <c r="B111" s="13"/>
      <c r="C111" s="13"/>
      <c r="D111" s="13"/>
      <c r="E111" s="37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" customHeight="1" x14ac:dyDescent="0.3">
      <c r="A112" s="13"/>
      <c r="B112" s="13"/>
      <c r="C112" s="13"/>
      <c r="D112" s="13"/>
      <c r="E112" s="37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" customHeight="1" x14ac:dyDescent="0.3">
      <c r="A113" s="13"/>
      <c r="B113" s="13"/>
      <c r="C113" s="13"/>
      <c r="D113" s="13"/>
      <c r="E113" s="37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" customHeight="1" x14ac:dyDescent="0.3">
      <c r="A114" s="13"/>
      <c r="B114" s="13"/>
      <c r="C114" s="13"/>
      <c r="D114" s="13"/>
      <c r="E114" s="37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" customHeight="1" x14ac:dyDescent="0.3">
      <c r="A115" s="13"/>
      <c r="B115" s="13"/>
      <c r="C115" s="13"/>
      <c r="D115" s="13"/>
      <c r="E115" s="37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" customHeight="1" x14ac:dyDescent="0.3">
      <c r="A116" s="13"/>
      <c r="B116" s="13"/>
      <c r="C116" s="13"/>
      <c r="D116" s="13"/>
      <c r="E116" s="37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" customHeight="1" x14ac:dyDescent="0.3">
      <c r="A117" s="13"/>
      <c r="B117" s="13"/>
      <c r="C117" s="13"/>
      <c r="D117" s="13"/>
      <c r="E117" s="37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" customHeight="1" x14ac:dyDescent="0.3">
      <c r="A118" s="13"/>
      <c r="B118" s="13"/>
      <c r="C118" s="13"/>
      <c r="D118" s="13"/>
      <c r="E118" s="37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" customHeight="1" x14ac:dyDescent="0.3">
      <c r="A119" s="13"/>
      <c r="B119" s="13"/>
      <c r="C119" s="13"/>
      <c r="D119" s="13"/>
      <c r="E119" s="37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" customHeight="1" x14ac:dyDescent="0.3">
      <c r="A120" s="13"/>
      <c r="B120" s="13"/>
      <c r="C120" s="13"/>
      <c r="D120" s="13"/>
      <c r="E120" s="37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" customHeight="1" x14ac:dyDescent="0.3">
      <c r="A121" s="13"/>
      <c r="B121" s="13"/>
      <c r="C121" s="13"/>
      <c r="D121" s="13"/>
      <c r="E121" s="37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" customHeight="1" x14ac:dyDescent="0.3">
      <c r="A122" s="13"/>
      <c r="B122" s="13"/>
      <c r="C122" s="13"/>
      <c r="D122" s="13"/>
      <c r="E122" s="37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" customHeight="1" x14ac:dyDescent="0.3">
      <c r="A123" s="13"/>
      <c r="B123" s="13"/>
      <c r="C123" s="13"/>
      <c r="D123" s="13"/>
      <c r="E123" s="37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" customHeight="1" x14ac:dyDescent="0.3">
      <c r="A124" s="13"/>
      <c r="B124" s="13"/>
      <c r="C124" s="13"/>
      <c r="D124" s="13"/>
      <c r="E124" s="37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" customHeight="1" x14ac:dyDescent="0.3">
      <c r="A125" s="13"/>
      <c r="B125" s="13"/>
      <c r="C125" s="13"/>
      <c r="D125" s="13"/>
      <c r="E125" s="37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" customHeight="1" x14ac:dyDescent="0.3">
      <c r="A126" s="13"/>
      <c r="B126" s="13"/>
      <c r="C126" s="13"/>
      <c r="D126" s="13"/>
      <c r="E126" s="37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" customHeight="1" x14ac:dyDescent="0.3">
      <c r="A127" s="13"/>
      <c r="B127" s="13"/>
      <c r="C127" s="13"/>
      <c r="D127" s="13"/>
      <c r="E127" s="37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" customHeight="1" x14ac:dyDescent="0.3">
      <c r="A128" s="13"/>
      <c r="B128" s="13"/>
      <c r="C128" s="13"/>
      <c r="D128" s="13"/>
      <c r="E128" s="37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" customHeight="1" x14ac:dyDescent="0.3">
      <c r="A129" s="13"/>
      <c r="B129" s="13"/>
      <c r="C129" s="13"/>
      <c r="D129" s="13"/>
      <c r="E129" s="37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" customHeight="1" x14ac:dyDescent="0.3">
      <c r="A130" s="13"/>
      <c r="B130" s="13"/>
      <c r="C130" s="13"/>
      <c r="D130" s="13"/>
      <c r="E130" s="37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" customHeight="1" x14ac:dyDescent="0.3">
      <c r="A131" s="13"/>
      <c r="B131" s="13"/>
      <c r="C131" s="13"/>
      <c r="D131" s="13"/>
      <c r="E131" s="37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" customHeight="1" x14ac:dyDescent="0.3">
      <c r="A132" s="13"/>
      <c r="B132" s="13"/>
      <c r="C132" s="13"/>
      <c r="D132" s="13"/>
      <c r="E132" s="37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" customHeight="1" x14ac:dyDescent="0.3">
      <c r="A133" s="13"/>
      <c r="B133" s="13"/>
      <c r="C133" s="13"/>
      <c r="D133" s="13"/>
      <c r="E133" s="37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" customHeight="1" x14ac:dyDescent="0.3">
      <c r="A134" s="13"/>
      <c r="B134" s="13"/>
      <c r="C134" s="13"/>
      <c r="D134" s="13"/>
      <c r="E134" s="37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" customHeight="1" x14ac:dyDescent="0.3">
      <c r="A135" s="13"/>
      <c r="B135" s="13"/>
      <c r="C135" s="13"/>
      <c r="D135" s="13"/>
      <c r="E135" s="37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" customHeight="1" x14ac:dyDescent="0.3">
      <c r="A136" s="13"/>
      <c r="B136" s="13"/>
      <c r="C136" s="13"/>
      <c r="D136" s="13"/>
      <c r="E136" s="37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" customHeight="1" x14ac:dyDescent="0.3">
      <c r="A137" s="13"/>
      <c r="B137" s="13"/>
      <c r="C137" s="13"/>
      <c r="D137" s="13"/>
      <c r="E137" s="37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" customHeight="1" x14ac:dyDescent="0.3">
      <c r="A138" s="13"/>
      <c r="B138" s="13"/>
      <c r="C138" s="13"/>
      <c r="D138" s="13"/>
      <c r="E138" s="37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" customHeight="1" x14ac:dyDescent="0.3">
      <c r="A139" s="13"/>
      <c r="B139" s="13"/>
      <c r="C139" s="13"/>
      <c r="D139" s="13"/>
      <c r="E139" s="37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" customHeight="1" x14ac:dyDescent="0.3">
      <c r="A140" s="13"/>
      <c r="B140" s="13"/>
      <c r="C140" s="13"/>
      <c r="D140" s="13"/>
      <c r="E140" s="37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" customHeight="1" x14ac:dyDescent="0.3">
      <c r="A141" s="13"/>
      <c r="B141" s="13"/>
      <c r="C141" s="13"/>
      <c r="D141" s="13"/>
      <c r="E141" s="37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" customHeight="1" x14ac:dyDescent="0.3">
      <c r="A142" s="13"/>
      <c r="B142" s="13"/>
      <c r="C142" s="13"/>
      <c r="D142" s="13"/>
      <c r="E142" s="37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" customHeight="1" x14ac:dyDescent="0.3">
      <c r="A143" s="13"/>
      <c r="B143" s="13"/>
      <c r="C143" s="13"/>
      <c r="D143" s="13"/>
      <c r="E143" s="37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" customHeight="1" x14ac:dyDescent="0.3">
      <c r="A144" s="13"/>
      <c r="B144" s="13"/>
      <c r="C144" s="13"/>
      <c r="D144" s="13"/>
      <c r="E144" s="37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" customHeight="1" x14ac:dyDescent="0.3">
      <c r="A145" s="13"/>
      <c r="B145" s="13"/>
      <c r="C145" s="13"/>
      <c r="D145" s="13"/>
      <c r="E145" s="37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" customHeight="1" x14ac:dyDescent="0.3">
      <c r="A146" s="13"/>
      <c r="B146" s="13"/>
      <c r="C146" s="13"/>
      <c r="D146" s="13"/>
      <c r="E146" s="37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" customHeight="1" x14ac:dyDescent="0.3">
      <c r="A147" s="13"/>
      <c r="B147" s="13"/>
      <c r="C147" s="13"/>
      <c r="D147" s="13"/>
      <c r="E147" s="37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" customHeight="1" x14ac:dyDescent="0.3">
      <c r="A148" s="13"/>
      <c r="B148" s="13"/>
      <c r="C148" s="13"/>
      <c r="D148" s="13"/>
      <c r="E148" s="37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" customHeight="1" x14ac:dyDescent="0.3">
      <c r="A149" s="13"/>
      <c r="B149" s="13"/>
      <c r="C149" s="13"/>
      <c r="D149" s="13"/>
      <c r="E149" s="37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" customHeight="1" x14ac:dyDescent="0.3">
      <c r="A150" s="13"/>
      <c r="B150" s="13"/>
      <c r="C150" s="13"/>
      <c r="D150" s="13"/>
      <c r="E150" s="37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" customHeight="1" x14ac:dyDescent="0.3">
      <c r="A151" s="13"/>
      <c r="B151" s="13"/>
      <c r="C151" s="13"/>
      <c r="D151" s="13"/>
      <c r="E151" s="37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" customHeight="1" x14ac:dyDescent="0.3">
      <c r="A152" s="13"/>
      <c r="B152" s="13"/>
      <c r="C152" s="13"/>
      <c r="D152" s="13"/>
      <c r="E152" s="37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" customHeight="1" x14ac:dyDescent="0.3">
      <c r="A153" s="13"/>
      <c r="B153" s="13"/>
      <c r="C153" s="13"/>
      <c r="D153" s="13"/>
      <c r="E153" s="37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" customHeight="1" x14ac:dyDescent="0.3">
      <c r="A154" s="13"/>
      <c r="B154" s="13"/>
      <c r="C154" s="13"/>
      <c r="D154" s="13"/>
      <c r="E154" s="37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" customHeight="1" x14ac:dyDescent="0.3">
      <c r="A155" s="13"/>
      <c r="B155" s="13"/>
      <c r="C155" s="13"/>
      <c r="D155" s="13"/>
      <c r="E155" s="37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" customHeight="1" x14ac:dyDescent="0.3">
      <c r="A156" s="13"/>
      <c r="B156" s="13"/>
      <c r="C156" s="13"/>
      <c r="D156" s="13"/>
      <c r="E156" s="37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" customHeight="1" x14ac:dyDescent="0.3">
      <c r="A157" s="13"/>
      <c r="B157" s="13"/>
      <c r="C157" s="13"/>
      <c r="D157" s="13"/>
      <c r="E157" s="37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" customHeight="1" x14ac:dyDescent="0.3">
      <c r="A158" s="13"/>
      <c r="B158" s="13"/>
      <c r="C158" s="13"/>
      <c r="D158" s="13"/>
      <c r="E158" s="37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" customHeight="1" x14ac:dyDescent="0.3">
      <c r="A159" s="13"/>
      <c r="B159" s="13"/>
      <c r="C159" s="13"/>
      <c r="D159" s="13"/>
      <c r="E159" s="37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" customHeight="1" x14ac:dyDescent="0.3">
      <c r="A160" s="13"/>
      <c r="B160" s="13"/>
      <c r="C160" s="13"/>
      <c r="D160" s="13"/>
      <c r="E160" s="37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" customHeight="1" x14ac:dyDescent="0.3">
      <c r="A161" s="13"/>
      <c r="B161" s="13"/>
      <c r="C161" s="13"/>
      <c r="D161" s="13"/>
      <c r="E161" s="37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" customHeight="1" x14ac:dyDescent="0.3">
      <c r="A162" s="13"/>
      <c r="B162" s="13"/>
      <c r="C162" s="13"/>
      <c r="D162" s="13"/>
      <c r="E162" s="37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" customHeight="1" x14ac:dyDescent="0.3">
      <c r="A163" s="13"/>
      <c r="B163" s="13"/>
      <c r="C163" s="13"/>
      <c r="D163" s="13"/>
      <c r="E163" s="37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" customHeight="1" x14ac:dyDescent="0.3">
      <c r="A164" s="13"/>
      <c r="B164" s="13"/>
      <c r="C164" s="13"/>
      <c r="D164" s="13"/>
      <c r="E164" s="37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" customHeight="1" x14ac:dyDescent="0.3">
      <c r="A165" s="13"/>
      <c r="B165" s="13"/>
      <c r="C165" s="13"/>
      <c r="D165" s="13"/>
      <c r="E165" s="37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" customHeight="1" x14ac:dyDescent="0.3">
      <c r="A166" s="13"/>
      <c r="B166" s="13"/>
      <c r="C166" s="13"/>
      <c r="D166" s="13"/>
      <c r="E166" s="37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" customHeight="1" x14ac:dyDescent="0.3">
      <c r="A167" s="13"/>
      <c r="B167" s="13"/>
      <c r="C167" s="13"/>
      <c r="D167" s="13"/>
      <c r="E167" s="37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" customHeight="1" x14ac:dyDescent="0.3">
      <c r="A168" s="13"/>
      <c r="B168" s="13"/>
      <c r="C168" s="13"/>
      <c r="D168" s="13"/>
      <c r="E168" s="37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" customHeight="1" x14ac:dyDescent="0.3">
      <c r="A169" s="13"/>
      <c r="B169" s="13"/>
      <c r="C169" s="13"/>
      <c r="D169" s="13"/>
      <c r="E169" s="37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" customHeight="1" x14ac:dyDescent="0.3">
      <c r="A170" s="13"/>
      <c r="B170" s="13"/>
      <c r="C170" s="13"/>
      <c r="D170" s="13"/>
      <c r="E170" s="37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" customHeight="1" x14ac:dyDescent="0.3">
      <c r="A171" s="13"/>
      <c r="B171" s="13"/>
      <c r="C171" s="13"/>
      <c r="D171" s="13"/>
      <c r="E171" s="37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" customHeight="1" x14ac:dyDescent="0.3">
      <c r="A172" s="13"/>
      <c r="B172" s="13"/>
      <c r="C172" s="13"/>
      <c r="D172" s="13"/>
      <c r="E172" s="37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" customHeight="1" x14ac:dyDescent="0.3">
      <c r="A173" s="13"/>
      <c r="B173" s="13"/>
      <c r="C173" s="13"/>
      <c r="D173" s="13"/>
      <c r="E173" s="37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" customHeight="1" x14ac:dyDescent="0.3">
      <c r="A174" s="13"/>
      <c r="B174" s="13"/>
      <c r="C174" s="13"/>
      <c r="D174" s="13"/>
      <c r="E174" s="37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" customHeight="1" x14ac:dyDescent="0.3">
      <c r="A175" s="13"/>
      <c r="B175" s="13"/>
      <c r="C175" s="13"/>
      <c r="D175" s="13"/>
      <c r="E175" s="37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" customHeight="1" x14ac:dyDescent="0.3">
      <c r="A176" s="13"/>
      <c r="B176" s="13"/>
      <c r="C176" s="13"/>
      <c r="D176" s="13"/>
      <c r="E176" s="37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" customHeight="1" x14ac:dyDescent="0.3">
      <c r="A177" s="13"/>
      <c r="B177" s="13"/>
      <c r="C177" s="13"/>
      <c r="D177" s="13"/>
      <c r="E177" s="37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" customHeight="1" x14ac:dyDescent="0.3">
      <c r="A178" s="13"/>
      <c r="B178" s="13"/>
      <c r="C178" s="13"/>
      <c r="D178" s="13"/>
      <c r="E178" s="37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" customHeight="1" x14ac:dyDescent="0.3">
      <c r="A179" s="13"/>
      <c r="B179" s="13"/>
      <c r="C179" s="13"/>
      <c r="D179" s="13"/>
      <c r="E179" s="37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" customHeight="1" x14ac:dyDescent="0.3">
      <c r="A180" s="13"/>
      <c r="B180" s="13"/>
      <c r="C180" s="13"/>
      <c r="D180" s="13"/>
      <c r="E180" s="37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" customHeight="1" x14ac:dyDescent="0.3">
      <c r="A181" s="13"/>
      <c r="B181" s="13"/>
      <c r="C181" s="13"/>
      <c r="D181" s="13"/>
      <c r="E181" s="37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" customHeight="1" x14ac:dyDescent="0.3">
      <c r="A182" s="13"/>
      <c r="B182" s="13"/>
      <c r="C182" s="13"/>
      <c r="D182" s="13"/>
      <c r="E182" s="37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" customHeight="1" x14ac:dyDescent="0.3">
      <c r="A183" s="13"/>
      <c r="B183" s="13"/>
      <c r="C183" s="13"/>
      <c r="D183" s="13"/>
      <c r="E183" s="37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" customHeight="1" x14ac:dyDescent="0.3">
      <c r="A184" s="13"/>
      <c r="B184" s="13"/>
      <c r="C184" s="13"/>
      <c r="D184" s="13"/>
      <c r="E184" s="37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" customHeight="1" x14ac:dyDescent="0.3">
      <c r="A185" s="13"/>
      <c r="B185" s="13"/>
      <c r="C185" s="13"/>
      <c r="D185" s="13"/>
      <c r="E185" s="37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" customHeight="1" x14ac:dyDescent="0.3">
      <c r="A186" s="13"/>
      <c r="B186" s="13"/>
      <c r="C186" s="13"/>
      <c r="D186" s="13"/>
      <c r="E186" s="37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" customHeight="1" x14ac:dyDescent="0.3">
      <c r="A187" s="13"/>
      <c r="B187" s="13"/>
      <c r="C187" s="13"/>
      <c r="D187" s="13"/>
      <c r="E187" s="37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" customHeight="1" x14ac:dyDescent="0.3">
      <c r="A188" s="13"/>
      <c r="B188" s="13"/>
      <c r="C188" s="13"/>
      <c r="D188" s="13"/>
      <c r="E188" s="37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" customHeight="1" x14ac:dyDescent="0.3">
      <c r="A189" s="13"/>
      <c r="B189" s="13"/>
      <c r="C189" s="13"/>
      <c r="D189" s="13"/>
      <c r="E189" s="37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" customHeight="1" x14ac:dyDescent="0.3">
      <c r="A190" s="13"/>
      <c r="B190" s="13"/>
      <c r="C190" s="13"/>
      <c r="D190" s="13"/>
      <c r="E190" s="37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" customHeight="1" x14ac:dyDescent="0.3">
      <c r="A191" s="13"/>
      <c r="B191" s="13"/>
      <c r="C191" s="13"/>
      <c r="D191" s="13"/>
      <c r="E191" s="37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" customHeight="1" x14ac:dyDescent="0.3">
      <c r="A192" s="13"/>
      <c r="B192" s="13"/>
      <c r="C192" s="13"/>
      <c r="D192" s="13"/>
      <c r="E192" s="37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" customHeight="1" x14ac:dyDescent="0.3">
      <c r="A193" s="13"/>
      <c r="B193" s="13"/>
      <c r="C193" s="13"/>
      <c r="D193" s="13"/>
      <c r="E193" s="37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" customHeight="1" x14ac:dyDescent="0.3">
      <c r="A194" s="13"/>
      <c r="B194" s="13"/>
      <c r="C194" s="13"/>
      <c r="D194" s="13"/>
      <c r="E194" s="37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" customHeight="1" x14ac:dyDescent="0.3">
      <c r="A195" s="13"/>
      <c r="B195" s="13"/>
      <c r="C195" s="13"/>
      <c r="D195" s="13"/>
      <c r="E195" s="37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" customHeight="1" x14ac:dyDescent="0.3">
      <c r="A196" s="13"/>
      <c r="B196" s="13"/>
      <c r="C196" s="13"/>
      <c r="D196" s="13"/>
      <c r="E196" s="37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" customHeight="1" x14ac:dyDescent="0.3">
      <c r="A197" s="13"/>
      <c r="B197" s="13"/>
      <c r="C197" s="13"/>
      <c r="D197" s="13"/>
      <c r="E197" s="37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" customHeight="1" x14ac:dyDescent="0.3">
      <c r="A198" s="13"/>
      <c r="B198" s="13"/>
      <c r="C198" s="13"/>
      <c r="D198" s="13"/>
      <c r="E198" s="37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" customHeight="1" x14ac:dyDescent="0.3">
      <c r="A199" s="13"/>
      <c r="B199" s="13"/>
      <c r="C199" s="13"/>
      <c r="D199" s="13"/>
      <c r="E199" s="37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" customHeight="1" x14ac:dyDescent="0.3">
      <c r="A200" s="13"/>
      <c r="B200" s="13"/>
      <c r="C200" s="13"/>
      <c r="D200" s="13"/>
      <c r="E200" s="37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" customHeight="1" x14ac:dyDescent="0.3">
      <c r="A201" s="13"/>
      <c r="B201" s="13"/>
      <c r="C201" s="13"/>
      <c r="D201" s="13"/>
      <c r="E201" s="37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" customHeight="1" x14ac:dyDescent="0.3">
      <c r="A202" s="13"/>
      <c r="B202" s="13"/>
      <c r="C202" s="13"/>
      <c r="D202" s="13"/>
      <c r="E202" s="37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" customHeight="1" x14ac:dyDescent="0.3">
      <c r="A203" s="13"/>
      <c r="B203" s="13"/>
      <c r="C203" s="13"/>
      <c r="D203" s="13"/>
      <c r="E203" s="37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" customHeight="1" x14ac:dyDescent="0.3">
      <c r="A204" s="13"/>
      <c r="B204" s="13"/>
      <c r="C204" s="13"/>
      <c r="D204" s="13"/>
      <c r="E204" s="37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" customHeight="1" x14ac:dyDescent="0.3">
      <c r="A205" s="13"/>
      <c r="B205" s="13"/>
      <c r="C205" s="13"/>
      <c r="D205" s="13"/>
      <c r="E205" s="37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" customHeight="1" x14ac:dyDescent="0.3">
      <c r="A206" s="13"/>
      <c r="B206" s="13"/>
      <c r="C206" s="13"/>
      <c r="D206" s="13"/>
      <c r="E206" s="37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" customHeight="1" x14ac:dyDescent="0.3">
      <c r="A207" s="13"/>
      <c r="B207" s="13"/>
      <c r="C207" s="13"/>
      <c r="D207" s="13"/>
      <c r="E207" s="37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" customHeight="1" x14ac:dyDescent="0.3">
      <c r="A208" s="13"/>
      <c r="B208" s="13"/>
      <c r="C208" s="13"/>
      <c r="D208" s="13"/>
      <c r="E208" s="37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" customHeight="1" x14ac:dyDescent="0.3">
      <c r="A209" s="13"/>
      <c r="B209" s="13"/>
      <c r="C209" s="13"/>
      <c r="D209" s="13"/>
      <c r="E209" s="37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" customHeight="1" x14ac:dyDescent="0.3">
      <c r="A210" s="13"/>
      <c r="B210" s="13"/>
      <c r="C210" s="13"/>
      <c r="D210" s="13"/>
      <c r="E210" s="37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" customHeight="1" x14ac:dyDescent="0.3">
      <c r="A211" s="13"/>
      <c r="B211" s="13"/>
      <c r="C211" s="13"/>
      <c r="D211" s="13"/>
      <c r="E211" s="37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" customHeight="1" x14ac:dyDescent="0.3">
      <c r="A212" s="13"/>
      <c r="B212" s="13"/>
      <c r="C212" s="13"/>
      <c r="D212" s="13"/>
      <c r="E212" s="37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" customHeight="1" x14ac:dyDescent="0.3">
      <c r="A213" s="13"/>
      <c r="B213" s="13"/>
      <c r="C213" s="13"/>
      <c r="D213" s="13"/>
      <c r="E213" s="37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" customHeight="1" x14ac:dyDescent="0.3">
      <c r="A214" s="13"/>
      <c r="B214" s="13"/>
      <c r="C214" s="13"/>
      <c r="D214" s="13"/>
      <c r="E214" s="37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" customHeight="1" x14ac:dyDescent="0.3">
      <c r="A215" s="13"/>
      <c r="B215" s="13"/>
      <c r="C215" s="13"/>
      <c r="D215" s="13"/>
      <c r="E215" s="37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" customHeight="1" x14ac:dyDescent="0.3">
      <c r="A216" s="13"/>
      <c r="B216" s="13"/>
      <c r="C216" s="13"/>
      <c r="D216" s="13"/>
      <c r="E216" s="37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" customHeight="1" x14ac:dyDescent="0.3">
      <c r="A217" s="13"/>
      <c r="B217" s="13"/>
      <c r="C217" s="13"/>
      <c r="D217" s="13"/>
      <c r="E217" s="37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" customHeight="1" x14ac:dyDescent="0.3">
      <c r="A218" s="13"/>
      <c r="B218" s="13"/>
      <c r="C218" s="13"/>
      <c r="D218" s="13"/>
      <c r="E218" s="37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" customHeight="1" x14ac:dyDescent="0.3">
      <c r="A219" s="13"/>
      <c r="B219" s="13"/>
      <c r="C219" s="13"/>
      <c r="D219" s="13"/>
      <c r="E219" s="37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" customHeight="1" x14ac:dyDescent="0.3">
      <c r="A220" s="13"/>
      <c r="B220" s="13"/>
      <c r="C220" s="13"/>
      <c r="D220" s="13"/>
      <c r="E220" s="37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" customHeight="1" x14ac:dyDescent="0.3">
      <c r="A221" s="13"/>
      <c r="B221" s="13"/>
      <c r="C221" s="13"/>
      <c r="D221" s="13"/>
      <c r="E221" s="37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" customHeight="1" x14ac:dyDescent="0.3">
      <c r="A222" s="13"/>
      <c r="B222" s="13"/>
      <c r="C222" s="13"/>
      <c r="D222" s="13"/>
      <c r="E222" s="37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" customHeight="1" x14ac:dyDescent="0.3">
      <c r="A223" s="13"/>
      <c r="B223" s="13"/>
      <c r="C223" s="13"/>
      <c r="D223" s="13"/>
      <c r="E223" s="37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" customHeight="1" x14ac:dyDescent="0.3">
      <c r="A224" s="13"/>
      <c r="B224" s="13"/>
      <c r="C224" s="13"/>
      <c r="D224" s="13"/>
      <c r="E224" s="37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" customHeight="1" x14ac:dyDescent="0.3">
      <c r="A225" s="13"/>
      <c r="B225" s="13"/>
      <c r="C225" s="13"/>
      <c r="D225" s="13"/>
      <c r="E225" s="37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" customHeight="1" x14ac:dyDescent="0.3">
      <c r="A226" s="13"/>
      <c r="B226" s="13"/>
      <c r="C226" s="13"/>
      <c r="D226" s="13"/>
      <c r="E226" s="37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" customHeight="1" x14ac:dyDescent="0.3">
      <c r="A227" s="13"/>
      <c r="B227" s="13"/>
      <c r="C227" s="13"/>
      <c r="D227" s="13"/>
      <c r="E227" s="37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" customHeight="1" x14ac:dyDescent="0.3">
      <c r="A228" s="13"/>
      <c r="B228" s="13"/>
      <c r="C228" s="13"/>
      <c r="D228" s="13"/>
      <c r="E228" s="37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" customHeight="1" x14ac:dyDescent="0.3">
      <c r="A229" s="13"/>
      <c r="B229" s="13"/>
      <c r="C229" s="13"/>
      <c r="D229" s="13"/>
      <c r="E229" s="37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" customHeight="1" x14ac:dyDescent="0.3">
      <c r="A230" s="13"/>
      <c r="B230" s="13"/>
      <c r="C230" s="13"/>
      <c r="D230" s="13"/>
      <c r="E230" s="37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" customHeight="1" x14ac:dyDescent="0.3">
      <c r="A231" s="13"/>
      <c r="B231" s="13"/>
      <c r="C231" s="13"/>
      <c r="D231" s="13"/>
      <c r="E231" s="37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" customHeight="1" x14ac:dyDescent="0.3">
      <c r="A232" s="13"/>
      <c r="B232" s="13"/>
      <c r="C232" s="13"/>
      <c r="D232" s="13"/>
      <c r="E232" s="37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" customHeight="1" x14ac:dyDescent="0.3">
      <c r="A233" s="13"/>
      <c r="B233" s="13"/>
      <c r="C233" s="13"/>
      <c r="D233" s="13"/>
      <c r="E233" s="37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" customHeight="1" x14ac:dyDescent="0.3">
      <c r="A234" s="13"/>
      <c r="B234" s="13"/>
      <c r="C234" s="13"/>
      <c r="D234" s="13"/>
      <c r="E234" s="37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" customHeight="1" x14ac:dyDescent="0.3">
      <c r="A235" s="13"/>
      <c r="B235" s="13"/>
      <c r="C235" s="13"/>
      <c r="D235" s="13"/>
      <c r="E235" s="37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" customHeight="1" x14ac:dyDescent="0.3">
      <c r="A236" s="13"/>
      <c r="B236" s="13"/>
      <c r="C236" s="13"/>
      <c r="D236" s="13"/>
      <c r="E236" s="37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" customHeight="1" x14ac:dyDescent="0.3">
      <c r="A237" s="13"/>
      <c r="B237" s="13"/>
      <c r="C237" s="13"/>
      <c r="D237" s="13"/>
      <c r="E237" s="37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" customHeight="1" x14ac:dyDescent="0.3">
      <c r="A238" s="13"/>
      <c r="B238" s="13"/>
      <c r="C238" s="13"/>
      <c r="D238" s="13"/>
      <c r="E238" s="37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" customHeight="1" x14ac:dyDescent="0.3">
      <c r="A239" s="13"/>
      <c r="B239" s="13"/>
      <c r="C239" s="13"/>
      <c r="D239" s="13"/>
      <c r="E239" s="37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" customHeight="1" x14ac:dyDescent="0.3">
      <c r="A240" s="13"/>
      <c r="B240" s="13"/>
      <c r="C240" s="13"/>
      <c r="D240" s="13"/>
      <c r="E240" s="37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" customHeight="1" x14ac:dyDescent="0.3">
      <c r="A241" s="13"/>
      <c r="B241" s="13"/>
      <c r="C241" s="13"/>
      <c r="D241" s="13"/>
      <c r="E241" s="37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" customHeight="1" x14ac:dyDescent="0.3">
      <c r="A242" s="13"/>
      <c r="B242" s="13"/>
      <c r="C242" s="13"/>
      <c r="D242" s="13"/>
      <c r="E242" s="37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" customHeight="1" x14ac:dyDescent="0.3">
      <c r="A243" s="13"/>
      <c r="B243" s="13"/>
      <c r="C243" s="13"/>
      <c r="D243" s="13"/>
      <c r="E243" s="37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" customHeight="1" x14ac:dyDescent="0.3">
      <c r="A244" s="13"/>
      <c r="B244" s="13"/>
      <c r="C244" s="13"/>
      <c r="D244" s="13"/>
      <c r="E244" s="37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" customHeight="1" x14ac:dyDescent="0.3">
      <c r="A245" s="13"/>
      <c r="B245" s="13"/>
      <c r="C245" s="13"/>
      <c r="D245" s="13"/>
      <c r="E245" s="37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" customHeight="1" x14ac:dyDescent="0.3">
      <c r="A246" s="13"/>
      <c r="B246" s="13"/>
      <c r="C246" s="13"/>
      <c r="D246" s="13"/>
      <c r="E246" s="37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" customHeight="1" x14ac:dyDescent="0.3">
      <c r="A247" s="13"/>
      <c r="B247" s="13"/>
      <c r="C247" s="13"/>
      <c r="D247" s="13"/>
      <c r="E247" s="37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" customHeight="1" x14ac:dyDescent="0.3">
      <c r="A248" s="13"/>
      <c r="B248" s="13"/>
      <c r="C248" s="13"/>
      <c r="D248" s="13"/>
      <c r="E248" s="37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3"/>
    <row r="250" spans="1:26" ht="15.75" customHeight="1" x14ac:dyDescent="0.3"/>
    <row r="251" spans="1:26" ht="15.75" customHeight="1" x14ac:dyDescent="0.3"/>
    <row r="252" spans="1:26" ht="15.75" customHeight="1" x14ac:dyDescent="0.3"/>
    <row r="253" spans="1:26" ht="15.75" customHeight="1" x14ac:dyDescent="0.3"/>
    <row r="254" spans="1:26" ht="15.75" customHeight="1" x14ac:dyDescent="0.3"/>
    <row r="255" spans="1:26" ht="15.75" customHeight="1" x14ac:dyDescent="0.3"/>
    <row r="256" spans="1:2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</sheetData>
  <mergeCells count="3">
    <mergeCell ref="A45:E45"/>
    <mergeCell ref="B47:E47"/>
    <mergeCell ref="B48:E48"/>
  </mergeCells>
  <dataValidations count="1">
    <dataValidation type="list" allowBlank="1" showErrorMessage="1" sqref="A3" xr:uid="{00000000-0002-0000-0600-000000000000}">
      <formula1>#REF!</formula1>
    </dataValidation>
  </dataValidations>
  <printOptions horizontalCentered="1"/>
  <pageMargins left="0.7" right="0.7" top="0.75" bottom="0.75" header="0" footer="0"/>
  <pageSetup paperSize="9" orientation="portrait"/>
  <colBreaks count="1" manualBreakCount="1">
    <brk id="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R43"/>
  <sheetViews>
    <sheetView workbookViewId="0">
      <selection activeCell="A44" sqref="A44:XFD246"/>
    </sheetView>
  </sheetViews>
  <sheetFormatPr defaultColWidth="14.44140625" defaultRowHeight="15" customHeight="1" x14ac:dyDescent="0.3"/>
  <cols>
    <col min="2" max="2" width="29" customWidth="1"/>
    <col min="3" max="3" width="22" customWidth="1"/>
    <col min="5" max="5" width="29.109375" customWidth="1"/>
  </cols>
  <sheetData>
    <row r="1" spans="1:6" x14ac:dyDescent="0.3">
      <c r="A1" s="47" t="s">
        <v>279</v>
      </c>
      <c r="B1" s="47" t="s">
        <v>252</v>
      </c>
      <c r="C1" s="48" t="s">
        <v>280</v>
      </c>
      <c r="D1" s="48" t="s">
        <v>261</v>
      </c>
      <c r="E1" s="48" t="s">
        <v>262</v>
      </c>
      <c r="F1" s="9" t="s">
        <v>253</v>
      </c>
    </row>
    <row r="2" spans="1:6" x14ac:dyDescent="0.3">
      <c r="A2" s="5" t="s">
        <v>21</v>
      </c>
      <c r="B2" s="5" t="s">
        <v>22</v>
      </c>
      <c r="C2" s="16">
        <v>7.93</v>
      </c>
      <c r="D2" s="16">
        <v>1.99</v>
      </c>
      <c r="E2" s="16"/>
      <c r="F2" s="16">
        <f t="shared" ref="F2:F38" si="0">SUM(C2:E2)</f>
        <v>9.92</v>
      </c>
    </row>
    <row r="3" spans="1:6" x14ac:dyDescent="0.3">
      <c r="A3" s="5" t="s">
        <v>39</v>
      </c>
      <c r="B3" s="5" t="s">
        <v>40</v>
      </c>
      <c r="C3" s="16"/>
      <c r="D3" s="16">
        <v>10</v>
      </c>
      <c r="E3" s="16">
        <v>3</v>
      </c>
      <c r="F3" s="16">
        <f t="shared" si="0"/>
        <v>13</v>
      </c>
    </row>
    <row r="4" spans="1:6" x14ac:dyDescent="0.3">
      <c r="A4" s="5" t="s">
        <v>51</v>
      </c>
      <c r="B4" s="5" t="s">
        <v>52</v>
      </c>
      <c r="C4" s="16">
        <v>8</v>
      </c>
      <c r="D4" s="16">
        <v>9</v>
      </c>
      <c r="E4" s="16"/>
      <c r="F4" s="16">
        <f t="shared" si="0"/>
        <v>17</v>
      </c>
    </row>
    <row r="5" spans="1:6" x14ac:dyDescent="0.3">
      <c r="A5" s="5" t="s">
        <v>53</v>
      </c>
      <c r="B5" s="5" t="s">
        <v>54</v>
      </c>
      <c r="C5" s="16">
        <v>6</v>
      </c>
      <c r="D5" s="16">
        <v>7.75</v>
      </c>
      <c r="E5" s="16"/>
      <c r="F5" s="16">
        <f t="shared" si="0"/>
        <v>13.75</v>
      </c>
    </row>
    <row r="6" spans="1:6" x14ac:dyDescent="0.3">
      <c r="A6" s="5" t="s">
        <v>59</v>
      </c>
      <c r="B6" s="5" t="s">
        <v>60</v>
      </c>
      <c r="C6" s="16"/>
      <c r="D6" s="16">
        <v>4</v>
      </c>
      <c r="E6" s="16"/>
      <c r="F6" s="16">
        <f t="shared" si="0"/>
        <v>4</v>
      </c>
    </row>
    <row r="7" spans="1:6" x14ac:dyDescent="0.3">
      <c r="A7" s="5" t="s">
        <v>61</v>
      </c>
      <c r="B7" s="5" t="s">
        <v>62</v>
      </c>
      <c r="C7" s="16">
        <v>8</v>
      </c>
      <c r="D7" s="16">
        <v>6.99</v>
      </c>
      <c r="E7" s="16"/>
      <c r="F7" s="16">
        <f t="shared" si="0"/>
        <v>14.99</v>
      </c>
    </row>
    <row r="8" spans="1:6" x14ac:dyDescent="0.3">
      <c r="A8" s="5" t="s">
        <v>63</v>
      </c>
      <c r="B8" s="5" t="s">
        <v>263</v>
      </c>
      <c r="C8" s="16"/>
      <c r="D8" s="16">
        <v>3.5</v>
      </c>
      <c r="E8" s="16"/>
      <c r="F8" s="16">
        <f t="shared" si="0"/>
        <v>3.5</v>
      </c>
    </row>
    <row r="9" spans="1:6" x14ac:dyDescent="0.3">
      <c r="A9" s="5" t="s">
        <v>65</v>
      </c>
      <c r="B9" s="5" t="s">
        <v>66</v>
      </c>
      <c r="C9" s="16">
        <v>5.5</v>
      </c>
      <c r="D9" s="16"/>
      <c r="E9" s="16"/>
      <c r="F9" s="16">
        <f t="shared" si="0"/>
        <v>5.5</v>
      </c>
    </row>
    <row r="10" spans="1:6" x14ac:dyDescent="0.3">
      <c r="A10" s="5" t="s">
        <v>69</v>
      </c>
      <c r="B10" s="5" t="s">
        <v>70</v>
      </c>
      <c r="C10" s="16">
        <v>5.5</v>
      </c>
      <c r="D10" s="16"/>
      <c r="E10" s="16"/>
      <c r="F10" s="16">
        <f t="shared" si="0"/>
        <v>5.5</v>
      </c>
    </row>
    <row r="11" spans="1:6" x14ac:dyDescent="0.3">
      <c r="A11" s="5" t="s">
        <v>71</v>
      </c>
      <c r="B11" s="5" t="s">
        <v>257</v>
      </c>
      <c r="C11" s="16"/>
      <c r="D11" s="16"/>
      <c r="E11" s="16">
        <v>2</v>
      </c>
      <c r="F11" s="16">
        <f t="shared" si="0"/>
        <v>2</v>
      </c>
    </row>
    <row r="12" spans="1:6" x14ac:dyDescent="0.3">
      <c r="A12" s="5" t="s">
        <v>75</v>
      </c>
      <c r="B12" s="5" t="s">
        <v>76</v>
      </c>
      <c r="C12" s="16"/>
      <c r="D12" s="16">
        <v>3</v>
      </c>
      <c r="E12" s="16"/>
      <c r="F12" s="16">
        <f t="shared" si="0"/>
        <v>3</v>
      </c>
    </row>
    <row r="13" spans="1:6" x14ac:dyDescent="0.3">
      <c r="A13" s="5" t="s">
        <v>77</v>
      </c>
      <c r="B13" s="5" t="s">
        <v>78</v>
      </c>
      <c r="C13" s="16"/>
      <c r="D13" s="16">
        <v>7</v>
      </c>
      <c r="E13" s="16">
        <v>1</v>
      </c>
      <c r="F13" s="16">
        <f t="shared" si="0"/>
        <v>8</v>
      </c>
    </row>
    <row r="14" spans="1:6" x14ac:dyDescent="0.3">
      <c r="A14" s="5" t="s">
        <v>79</v>
      </c>
      <c r="B14" s="5" t="s">
        <v>80</v>
      </c>
      <c r="C14" s="16"/>
      <c r="D14" s="16">
        <v>16</v>
      </c>
      <c r="E14" s="16">
        <v>4</v>
      </c>
      <c r="F14" s="16">
        <f t="shared" si="0"/>
        <v>20</v>
      </c>
    </row>
    <row r="15" spans="1:6" x14ac:dyDescent="0.3">
      <c r="A15" s="5" t="s">
        <v>83</v>
      </c>
      <c r="B15" s="5" t="s">
        <v>84</v>
      </c>
      <c r="C15" s="16"/>
      <c r="D15" s="16">
        <v>4</v>
      </c>
      <c r="E15" s="16"/>
      <c r="F15" s="16">
        <f t="shared" si="0"/>
        <v>4</v>
      </c>
    </row>
    <row r="16" spans="1:6" x14ac:dyDescent="0.3">
      <c r="A16" s="5" t="s">
        <v>87</v>
      </c>
      <c r="B16" s="5" t="s">
        <v>88</v>
      </c>
      <c r="C16" s="16"/>
      <c r="D16" s="16">
        <v>9.64</v>
      </c>
      <c r="E16" s="16">
        <v>1</v>
      </c>
      <c r="F16" s="16">
        <f t="shared" si="0"/>
        <v>10.64</v>
      </c>
    </row>
    <row r="17" spans="1:6" x14ac:dyDescent="0.3">
      <c r="A17" s="5" t="s">
        <v>89</v>
      </c>
      <c r="B17" s="5" t="s">
        <v>90</v>
      </c>
      <c r="C17" s="16"/>
      <c r="D17" s="16">
        <v>4</v>
      </c>
      <c r="E17" s="16"/>
      <c r="F17" s="16">
        <f t="shared" si="0"/>
        <v>4</v>
      </c>
    </row>
    <row r="18" spans="1:6" x14ac:dyDescent="0.3">
      <c r="A18" s="5" t="s">
        <v>91</v>
      </c>
      <c r="B18" s="5" t="s">
        <v>92</v>
      </c>
      <c r="C18" s="16">
        <v>8</v>
      </c>
      <c r="D18" s="16">
        <v>1</v>
      </c>
      <c r="E18" s="16"/>
      <c r="F18" s="16">
        <f t="shared" si="0"/>
        <v>9</v>
      </c>
    </row>
    <row r="19" spans="1:6" x14ac:dyDescent="0.3">
      <c r="A19" s="5" t="s">
        <v>123</v>
      </c>
      <c r="B19" s="5" t="s">
        <v>258</v>
      </c>
      <c r="C19" s="16"/>
      <c r="D19" s="16">
        <v>6</v>
      </c>
      <c r="E19" s="16">
        <v>0.62</v>
      </c>
      <c r="F19" s="16">
        <f t="shared" si="0"/>
        <v>6.62</v>
      </c>
    </row>
    <row r="20" spans="1:6" x14ac:dyDescent="0.3">
      <c r="A20" s="5" t="s">
        <v>125</v>
      </c>
      <c r="B20" s="5" t="s">
        <v>126</v>
      </c>
      <c r="C20" s="16"/>
      <c r="D20" s="16">
        <v>14</v>
      </c>
      <c r="E20" s="16">
        <v>1</v>
      </c>
      <c r="F20" s="16">
        <f t="shared" si="0"/>
        <v>15</v>
      </c>
    </row>
    <row r="21" spans="1:6" x14ac:dyDescent="0.3">
      <c r="A21" s="5" t="s">
        <v>131</v>
      </c>
      <c r="B21" s="5" t="s">
        <v>132</v>
      </c>
      <c r="C21" s="16"/>
      <c r="D21" s="16">
        <v>8</v>
      </c>
      <c r="E21" s="16">
        <v>1</v>
      </c>
      <c r="F21" s="16">
        <f t="shared" si="0"/>
        <v>9</v>
      </c>
    </row>
    <row r="22" spans="1:6" x14ac:dyDescent="0.3">
      <c r="A22" s="5" t="s">
        <v>133</v>
      </c>
      <c r="B22" s="5" t="s">
        <v>134</v>
      </c>
      <c r="C22" s="16"/>
      <c r="D22" s="16">
        <v>3.7</v>
      </c>
      <c r="E22" s="16"/>
      <c r="F22" s="16">
        <f t="shared" si="0"/>
        <v>3.7</v>
      </c>
    </row>
    <row r="23" spans="1:6" x14ac:dyDescent="0.3">
      <c r="A23" s="5" t="s">
        <v>135</v>
      </c>
      <c r="B23" s="5" t="s">
        <v>136</v>
      </c>
      <c r="C23" s="16"/>
      <c r="D23" s="16">
        <v>15</v>
      </c>
      <c r="E23" s="16"/>
      <c r="F23" s="16">
        <f t="shared" si="0"/>
        <v>15</v>
      </c>
    </row>
    <row r="24" spans="1:6" x14ac:dyDescent="0.3">
      <c r="A24" s="5" t="s">
        <v>137</v>
      </c>
      <c r="B24" s="5" t="s">
        <v>138</v>
      </c>
      <c r="C24" s="16"/>
      <c r="D24" s="16">
        <v>1</v>
      </c>
      <c r="E24" s="16"/>
      <c r="F24" s="16">
        <f t="shared" si="0"/>
        <v>1</v>
      </c>
    </row>
    <row r="25" spans="1:6" x14ac:dyDescent="0.3">
      <c r="A25" s="5" t="s">
        <v>139</v>
      </c>
      <c r="B25" s="5" t="s">
        <v>140</v>
      </c>
      <c r="C25" s="16"/>
      <c r="D25" s="16">
        <v>6</v>
      </c>
      <c r="E25" s="16"/>
      <c r="F25" s="16">
        <f t="shared" si="0"/>
        <v>6</v>
      </c>
    </row>
    <row r="26" spans="1:6" x14ac:dyDescent="0.3">
      <c r="A26" s="5" t="s">
        <v>149</v>
      </c>
      <c r="B26" s="5" t="s">
        <v>150</v>
      </c>
      <c r="C26" s="16"/>
      <c r="D26" s="16">
        <v>4</v>
      </c>
      <c r="E26" s="16"/>
      <c r="F26" s="16">
        <f t="shared" si="0"/>
        <v>4</v>
      </c>
    </row>
    <row r="27" spans="1:6" x14ac:dyDescent="0.3">
      <c r="A27" s="5" t="s">
        <v>153</v>
      </c>
      <c r="B27" s="5" t="s">
        <v>154</v>
      </c>
      <c r="C27" s="16"/>
      <c r="D27" s="16">
        <v>1</v>
      </c>
      <c r="E27" s="16"/>
      <c r="F27" s="16">
        <f t="shared" si="0"/>
        <v>1</v>
      </c>
    </row>
    <row r="28" spans="1:6" x14ac:dyDescent="0.3">
      <c r="A28" s="5" t="s">
        <v>155</v>
      </c>
      <c r="B28" s="5" t="s">
        <v>156</v>
      </c>
      <c r="C28" s="16">
        <v>4</v>
      </c>
      <c r="D28" s="16">
        <v>7.5</v>
      </c>
      <c r="E28" s="16">
        <v>1</v>
      </c>
      <c r="F28" s="16">
        <f t="shared" si="0"/>
        <v>12.5</v>
      </c>
    </row>
    <row r="29" spans="1:6" x14ac:dyDescent="0.3">
      <c r="A29" s="5" t="s">
        <v>159</v>
      </c>
      <c r="B29" s="5" t="s">
        <v>160</v>
      </c>
      <c r="C29" s="16"/>
      <c r="D29" s="16">
        <v>20.87</v>
      </c>
      <c r="E29" s="16">
        <v>1.9</v>
      </c>
      <c r="F29" s="16">
        <f t="shared" si="0"/>
        <v>22.77</v>
      </c>
    </row>
    <row r="30" spans="1:6" x14ac:dyDescent="0.3">
      <c r="A30" s="5" t="s">
        <v>172</v>
      </c>
      <c r="B30" s="49" t="s">
        <v>173</v>
      </c>
      <c r="C30" s="50"/>
      <c r="D30" s="50">
        <v>6.35</v>
      </c>
      <c r="E30" s="50"/>
      <c r="F30" s="16">
        <f t="shared" si="0"/>
        <v>6.35</v>
      </c>
    </row>
    <row r="31" spans="1:6" x14ac:dyDescent="0.3">
      <c r="A31" s="5" t="s">
        <v>174</v>
      </c>
      <c r="B31" s="5" t="s">
        <v>175</v>
      </c>
      <c r="C31" s="16"/>
      <c r="D31" s="16">
        <v>7.5</v>
      </c>
      <c r="E31" s="16">
        <v>2.5</v>
      </c>
      <c r="F31" s="16">
        <f t="shared" si="0"/>
        <v>10</v>
      </c>
    </row>
    <row r="32" spans="1:6" x14ac:dyDescent="0.3">
      <c r="A32" s="5" t="s">
        <v>178</v>
      </c>
      <c r="B32" s="5" t="s">
        <v>179</v>
      </c>
      <c r="C32" s="16"/>
      <c r="D32" s="16">
        <v>1</v>
      </c>
      <c r="E32" s="16"/>
      <c r="F32" s="16">
        <f t="shared" si="0"/>
        <v>1</v>
      </c>
    </row>
    <row r="33" spans="1:18" x14ac:dyDescent="0.3">
      <c r="A33" s="5" t="s">
        <v>182</v>
      </c>
      <c r="B33" s="5" t="s">
        <v>183</v>
      </c>
      <c r="C33" s="16"/>
      <c r="D33" s="16">
        <v>2</v>
      </c>
      <c r="E33" s="16">
        <v>2</v>
      </c>
      <c r="F33" s="16">
        <f t="shared" si="0"/>
        <v>4</v>
      </c>
    </row>
    <row r="34" spans="1:18" x14ac:dyDescent="0.3">
      <c r="A34" s="5" t="s">
        <v>184</v>
      </c>
      <c r="B34" s="5" t="s">
        <v>185</v>
      </c>
      <c r="C34" s="16"/>
      <c r="D34" s="16">
        <v>8</v>
      </c>
      <c r="E34" s="16">
        <v>2</v>
      </c>
      <c r="F34" s="16">
        <f t="shared" si="0"/>
        <v>10</v>
      </c>
    </row>
    <row r="35" spans="1:18" x14ac:dyDescent="0.3">
      <c r="A35" s="5" t="s">
        <v>188</v>
      </c>
      <c r="B35" s="5" t="s">
        <v>189</v>
      </c>
      <c r="C35" s="16"/>
      <c r="D35" s="16">
        <v>2</v>
      </c>
      <c r="E35" s="16">
        <v>2</v>
      </c>
      <c r="F35" s="16">
        <f t="shared" si="0"/>
        <v>4</v>
      </c>
    </row>
    <row r="36" spans="1:18" x14ac:dyDescent="0.3">
      <c r="A36" s="5" t="s">
        <v>194</v>
      </c>
      <c r="B36" s="6" t="s">
        <v>195</v>
      </c>
      <c r="C36" s="16">
        <v>16</v>
      </c>
      <c r="D36" s="16">
        <v>21.5</v>
      </c>
      <c r="E36" s="16">
        <v>1</v>
      </c>
      <c r="F36" s="16">
        <f t="shared" si="0"/>
        <v>38.5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</row>
    <row r="37" spans="1:18" x14ac:dyDescent="0.3">
      <c r="A37" s="5" t="s">
        <v>204</v>
      </c>
      <c r="B37" s="6" t="s">
        <v>259</v>
      </c>
      <c r="C37" s="16"/>
      <c r="D37" s="16">
        <v>4.5</v>
      </c>
      <c r="E37" s="16">
        <v>1.5</v>
      </c>
      <c r="F37" s="16">
        <f t="shared" si="0"/>
        <v>6</v>
      </c>
      <c r="G37" s="26"/>
      <c r="H37" s="6"/>
      <c r="I37" s="25"/>
      <c r="J37" s="6"/>
      <c r="K37" s="26"/>
      <c r="L37" s="6"/>
      <c r="M37" s="6"/>
      <c r="N37" s="6"/>
      <c r="O37" s="6"/>
      <c r="P37" s="6"/>
      <c r="Q37" s="6"/>
      <c r="R37" s="6"/>
    </row>
    <row r="38" spans="1:18" x14ac:dyDescent="0.3">
      <c r="A38" s="5" t="s">
        <v>206</v>
      </c>
      <c r="B38" s="6" t="s">
        <v>260</v>
      </c>
      <c r="C38" s="16"/>
      <c r="D38" s="16">
        <v>6</v>
      </c>
      <c r="E38" s="16">
        <v>1</v>
      </c>
      <c r="F38" s="16">
        <f t="shared" si="0"/>
        <v>7</v>
      </c>
      <c r="G38" s="26"/>
      <c r="H38" s="6"/>
      <c r="I38" s="25"/>
      <c r="J38" s="6"/>
      <c r="K38" s="26"/>
      <c r="L38" s="6"/>
      <c r="M38" s="6"/>
      <c r="N38" s="6"/>
      <c r="O38" s="6"/>
      <c r="P38" s="6"/>
      <c r="Q38" s="6"/>
      <c r="R38" s="6"/>
    </row>
    <row r="39" spans="1:18" x14ac:dyDescent="0.3">
      <c r="B39" s="9" t="s">
        <v>253</v>
      </c>
      <c r="C39" s="51">
        <f t="shared" ref="C39:F39" si="1">SUM(C2:C38)</f>
        <v>68.930000000000007</v>
      </c>
      <c r="D39" s="51">
        <f t="shared" si="1"/>
        <v>233.79</v>
      </c>
      <c r="E39" s="51">
        <f t="shared" si="1"/>
        <v>28.52</v>
      </c>
      <c r="F39" s="51">
        <f t="shared" si="1"/>
        <v>331.24</v>
      </c>
      <c r="G39" s="26"/>
      <c r="H39" s="6"/>
      <c r="I39" s="25"/>
      <c r="J39" s="6"/>
      <c r="K39" s="26"/>
      <c r="L39" s="6"/>
      <c r="M39" s="6"/>
      <c r="N39" s="6"/>
      <c r="O39" s="6"/>
      <c r="P39" s="6"/>
      <c r="Q39" s="6"/>
      <c r="R39" s="6"/>
    </row>
    <row r="40" spans="1:18" x14ac:dyDescent="0.3">
      <c r="B40" s="6"/>
      <c r="C40" s="27"/>
      <c r="D40" s="6"/>
      <c r="E40" s="80"/>
      <c r="F40" s="74"/>
      <c r="G40" s="26"/>
      <c r="H40" s="6"/>
      <c r="I40" s="25"/>
      <c r="J40" s="6"/>
      <c r="K40" s="26"/>
      <c r="L40" s="6"/>
      <c r="M40" s="6"/>
      <c r="N40" s="6"/>
      <c r="O40" s="6"/>
      <c r="P40" s="6"/>
      <c r="Q40" s="6"/>
      <c r="R40" s="6"/>
    </row>
    <row r="41" spans="1:18" x14ac:dyDescent="0.3">
      <c r="B41" s="6"/>
      <c r="C41" s="27"/>
      <c r="D41" s="6"/>
      <c r="E41" s="80"/>
      <c r="F41" s="74"/>
      <c r="G41" s="26"/>
      <c r="H41" s="6"/>
      <c r="I41" s="25"/>
      <c r="J41" s="6"/>
      <c r="K41" s="26"/>
      <c r="L41" s="6"/>
      <c r="M41" s="6"/>
      <c r="N41" s="6"/>
      <c r="O41" s="6"/>
      <c r="P41" s="6"/>
      <c r="Q41" s="6"/>
      <c r="R41" s="6"/>
    </row>
    <row r="42" spans="1:18" x14ac:dyDescent="0.3">
      <c r="B42" s="6"/>
      <c r="C42" s="27"/>
      <c r="D42" s="6"/>
      <c r="E42" s="6"/>
      <c r="F42" s="6"/>
      <c r="G42" s="6"/>
      <c r="H42" s="6"/>
      <c r="I42" s="25"/>
      <c r="J42" s="6"/>
      <c r="K42" s="26"/>
      <c r="L42" s="6"/>
      <c r="M42" s="6"/>
      <c r="N42" s="6"/>
      <c r="O42" s="6"/>
      <c r="P42" s="6"/>
      <c r="Q42" s="6"/>
      <c r="R42" s="6"/>
    </row>
    <row r="43" spans="1:18" x14ac:dyDescent="0.3">
      <c r="B43" s="6"/>
      <c r="C43" s="27"/>
      <c r="D43" s="6"/>
      <c r="E43" s="80"/>
      <c r="F43" s="74"/>
      <c r="G43" s="26"/>
      <c r="H43" s="6"/>
      <c r="I43" s="25"/>
      <c r="J43" s="6"/>
      <c r="K43" s="26"/>
      <c r="L43" s="6"/>
      <c r="M43" s="6"/>
      <c r="N43" s="6"/>
      <c r="O43" s="6"/>
      <c r="P43" s="6"/>
      <c r="Q43" s="6"/>
      <c r="R43" s="6"/>
    </row>
  </sheetData>
  <mergeCells count="3">
    <mergeCell ref="E40:F40"/>
    <mergeCell ref="E41:F41"/>
    <mergeCell ref="E43:F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93"/>
  <sheetViews>
    <sheetView tabSelected="1" workbookViewId="0">
      <selection activeCell="K11" sqref="K11"/>
    </sheetView>
  </sheetViews>
  <sheetFormatPr defaultColWidth="14.44140625" defaultRowHeight="15" customHeight="1" x14ac:dyDescent="0.3"/>
  <cols>
    <col min="2" max="2" width="26" customWidth="1"/>
    <col min="5" max="5" width="18.88671875" customWidth="1"/>
  </cols>
  <sheetData>
    <row r="1" spans="1:6" x14ac:dyDescent="0.3">
      <c r="A1" s="52" t="s">
        <v>5</v>
      </c>
      <c r="B1" s="53" t="s">
        <v>6</v>
      </c>
      <c r="C1" s="54" t="s">
        <v>7</v>
      </c>
      <c r="D1" s="55">
        <v>45947</v>
      </c>
      <c r="E1" s="56">
        <v>45961</v>
      </c>
      <c r="F1" s="57" t="s">
        <v>281</v>
      </c>
    </row>
    <row r="2" spans="1:6" x14ac:dyDescent="0.3">
      <c r="A2" s="58" t="s">
        <v>21</v>
      </c>
      <c r="B2" s="7" t="s">
        <v>22</v>
      </c>
      <c r="C2" s="59" t="s">
        <v>23</v>
      </c>
      <c r="E2" s="11">
        <f>VLOOKUP(A2,'Total Hours - Summary'!A:R,18,0)</f>
        <v>8</v>
      </c>
      <c r="F2" s="60">
        <f t="shared" ref="F2:F93" si="0">SUM(D2:E2)</f>
        <v>8</v>
      </c>
    </row>
    <row r="3" spans="1:6" x14ac:dyDescent="0.3">
      <c r="A3" s="58" t="s">
        <v>24</v>
      </c>
      <c r="B3" s="10" t="s">
        <v>25</v>
      </c>
      <c r="C3" s="59" t="s">
        <v>23</v>
      </c>
      <c r="E3" s="11">
        <f>VLOOKUP(A3,'Total Hours - Summary'!A:R,18,0)</f>
        <v>6.01</v>
      </c>
      <c r="F3" s="60">
        <f t="shared" si="0"/>
        <v>6.01</v>
      </c>
    </row>
    <row r="4" spans="1:6" x14ac:dyDescent="0.3">
      <c r="A4" s="58" t="s">
        <v>27</v>
      </c>
      <c r="B4" s="7" t="s">
        <v>28</v>
      </c>
      <c r="C4" s="59" t="s">
        <v>29</v>
      </c>
      <c r="D4" s="60">
        <f>VLOOKUP(A4,'Total Hours - Summary'!A:D,4,0)</f>
        <v>8</v>
      </c>
      <c r="E4" s="11">
        <f>VLOOKUP(A4,'Total Hours - Summary'!A:R,18,0)</f>
        <v>8</v>
      </c>
      <c r="F4" s="60">
        <f t="shared" si="0"/>
        <v>16</v>
      </c>
    </row>
    <row r="5" spans="1:6" x14ac:dyDescent="0.3">
      <c r="A5" s="8" t="s">
        <v>30</v>
      </c>
      <c r="B5" s="7" t="s">
        <v>31</v>
      </c>
      <c r="C5" s="59" t="s">
        <v>32</v>
      </c>
      <c r="D5" s="60">
        <f>VLOOKUP(A5,'Total Hours - Summary'!A:D,4,0)</f>
        <v>8</v>
      </c>
      <c r="E5" s="11">
        <f>VLOOKUP(A5,'Total Hours - Summary'!A:R,18,0)</f>
        <v>8</v>
      </c>
      <c r="F5" s="60">
        <f t="shared" si="0"/>
        <v>16</v>
      </c>
    </row>
    <row r="6" spans="1:6" x14ac:dyDescent="0.3">
      <c r="A6" s="58" t="s">
        <v>33</v>
      </c>
      <c r="B6" s="7" t="s">
        <v>34</v>
      </c>
      <c r="C6" s="59" t="s">
        <v>23</v>
      </c>
      <c r="E6" s="11">
        <f>VLOOKUP(A6,'Total Hours - Summary'!A:R,18,0)</f>
        <v>8</v>
      </c>
      <c r="F6" s="60">
        <f t="shared" si="0"/>
        <v>8</v>
      </c>
    </row>
    <row r="7" spans="1:6" x14ac:dyDescent="0.3">
      <c r="A7" s="58" t="s">
        <v>35</v>
      </c>
      <c r="B7" s="7" t="s">
        <v>36</v>
      </c>
      <c r="C7" s="59" t="s">
        <v>29</v>
      </c>
      <c r="D7" s="60">
        <f>VLOOKUP(A7,'Total Hours - Summary'!A:D,4,0)</f>
        <v>8</v>
      </c>
      <c r="E7" s="11">
        <f>VLOOKUP(A7,'Total Hours - Summary'!A:R,18,0)</f>
        <v>8</v>
      </c>
      <c r="F7" s="60">
        <f t="shared" si="0"/>
        <v>16</v>
      </c>
    </row>
    <row r="8" spans="1:6" x14ac:dyDescent="0.3">
      <c r="A8" s="58" t="s">
        <v>37</v>
      </c>
      <c r="B8" s="7" t="s">
        <v>38</v>
      </c>
      <c r="C8" s="59" t="s">
        <v>29</v>
      </c>
      <c r="D8" s="60">
        <f>VLOOKUP(A8,'Total Hours - Summary'!A:D,4,0)</f>
        <v>7.98</v>
      </c>
      <c r="E8" s="11">
        <f>VLOOKUP(A8,'Total Hours - Summary'!A:R,18,0)</f>
        <v>8</v>
      </c>
      <c r="F8" s="60">
        <f t="shared" si="0"/>
        <v>15.98</v>
      </c>
    </row>
    <row r="9" spans="1:6" x14ac:dyDescent="0.3">
      <c r="A9" s="58" t="s">
        <v>39</v>
      </c>
      <c r="B9" s="7" t="s">
        <v>40</v>
      </c>
      <c r="C9" s="59" t="s">
        <v>29</v>
      </c>
      <c r="D9" s="60">
        <f>VLOOKUP(A9,'Total Hours - Summary'!A:D,4,0)</f>
        <v>8</v>
      </c>
      <c r="E9" s="11">
        <f>VLOOKUP(A9,'Total Hours - Summary'!A:R,18,0)</f>
        <v>8</v>
      </c>
      <c r="F9" s="60">
        <f t="shared" si="0"/>
        <v>16</v>
      </c>
    </row>
    <row r="10" spans="1:6" x14ac:dyDescent="0.3">
      <c r="A10" s="58" t="s">
        <v>41</v>
      </c>
      <c r="B10" s="7" t="s">
        <v>42</v>
      </c>
      <c r="C10" s="59" t="s">
        <v>23</v>
      </c>
      <c r="E10" s="11">
        <f>VLOOKUP(A10,'Total Hours - Summary'!A:R,18,0)</f>
        <v>7.9</v>
      </c>
      <c r="F10" s="60">
        <f t="shared" si="0"/>
        <v>7.9</v>
      </c>
    </row>
    <row r="11" spans="1:6" x14ac:dyDescent="0.3">
      <c r="A11" s="58" t="s">
        <v>43</v>
      </c>
      <c r="B11" s="7" t="s">
        <v>44</v>
      </c>
      <c r="C11" s="59" t="s">
        <v>23</v>
      </c>
      <c r="E11" s="11">
        <f>VLOOKUP(A11,'Total Hours - Summary'!A:R,18,0)</f>
        <v>8</v>
      </c>
      <c r="F11" s="60">
        <f t="shared" si="0"/>
        <v>8</v>
      </c>
    </row>
    <row r="12" spans="1:6" x14ac:dyDescent="0.3">
      <c r="A12" s="58" t="s">
        <v>45</v>
      </c>
      <c r="B12" s="7" t="s">
        <v>46</v>
      </c>
      <c r="C12" s="59" t="s">
        <v>32</v>
      </c>
      <c r="D12" s="60">
        <f>VLOOKUP(A12,'Total Hours - Summary'!A:D,4,0)</f>
        <v>8</v>
      </c>
      <c r="E12" s="11">
        <f>VLOOKUP(A12,'Total Hours - Summary'!A:R,18,0)</f>
        <v>8</v>
      </c>
      <c r="F12" s="60">
        <f t="shared" si="0"/>
        <v>16</v>
      </c>
    </row>
    <row r="13" spans="1:6" x14ac:dyDescent="0.3">
      <c r="A13" s="58" t="s">
        <v>47</v>
      </c>
      <c r="B13" s="7" t="s">
        <v>48</v>
      </c>
      <c r="C13" s="59" t="s">
        <v>29</v>
      </c>
      <c r="D13" s="60">
        <f>VLOOKUP(A13,'Total Hours - Summary'!A:D,4,0)</f>
        <v>8</v>
      </c>
      <c r="E13" s="11">
        <f>VLOOKUP(A13,'Total Hours - Summary'!A:R,18,0)</f>
        <v>8</v>
      </c>
      <c r="F13" s="60">
        <f t="shared" si="0"/>
        <v>16</v>
      </c>
    </row>
    <row r="14" spans="1:6" x14ac:dyDescent="0.3">
      <c r="A14" s="58" t="s">
        <v>49</v>
      </c>
      <c r="B14" s="10" t="s">
        <v>50</v>
      </c>
      <c r="C14" s="59" t="s">
        <v>23</v>
      </c>
      <c r="E14" s="11">
        <f>VLOOKUP(A14,'Total Hours - Summary'!A:R,18,0)</f>
        <v>0</v>
      </c>
      <c r="F14" s="60">
        <f t="shared" si="0"/>
        <v>0</v>
      </c>
    </row>
    <row r="15" spans="1:6" x14ac:dyDescent="0.3">
      <c r="A15" s="58" t="s">
        <v>51</v>
      </c>
      <c r="B15" s="7" t="s">
        <v>52</v>
      </c>
      <c r="C15" s="59" t="s">
        <v>23</v>
      </c>
      <c r="E15" s="11">
        <f>VLOOKUP(A15,'Total Hours - Summary'!A:R,18,0)</f>
        <v>8</v>
      </c>
      <c r="F15" s="60">
        <f t="shared" si="0"/>
        <v>8</v>
      </c>
    </row>
    <row r="16" spans="1:6" x14ac:dyDescent="0.3">
      <c r="A16" s="58" t="s">
        <v>53</v>
      </c>
      <c r="B16" s="7" t="s">
        <v>54</v>
      </c>
      <c r="C16" s="59" t="s">
        <v>29</v>
      </c>
      <c r="D16" s="60">
        <f>VLOOKUP(A16,'Total Hours - Summary'!A:D,4,0)</f>
        <v>8</v>
      </c>
      <c r="E16" s="11">
        <f>VLOOKUP(A16,'Total Hours - Summary'!A:R,18,0)</f>
        <v>8</v>
      </c>
      <c r="F16" s="60">
        <f t="shared" si="0"/>
        <v>16</v>
      </c>
    </row>
    <row r="17" spans="1:6" x14ac:dyDescent="0.3">
      <c r="A17" s="58" t="s">
        <v>55</v>
      </c>
      <c r="B17" s="61" t="s">
        <v>56</v>
      </c>
      <c r="C17" s="59" t="s">
        <v>29</v>
      </c>
      <c r="D17" s="60">
        <f>VLOOKUP(A17,'Total Hours - Summary'!A:D,4,0)</f>
        <v>8</v>
      </c>
      <c r="E17" s="11">
        <f>VLOOKUP(A17,'Total Hours - Summary'!A:R,18,0)</f>
        <v>8</v>
      </c>
      <c r="F17" s="60">
        <f t="shared" si="0"/>
        <v>16</v>
      </c>
    </row>
    <row r="18" spans="1:6" x14ac:dyDescent="0.3">
      <c r="A18" s="58" t="s">
        <v>57</v>
      </c>
      <c r="B18" s="10" t="s">
        <v>58</v>
      </c>
      <c r="C18" s="59" t="s">
        <v>23</v>
      </c>
      <c r="E18" s="11">
        <f>VLOOKUP(A18,'Total Hours - Summary'!A:R,18,0)</f>
        <v>7.88</v>
      </c>
      <c r="F18" s="60">
        <f t="shared" si="0"/>
        <v>7.88</v>
      </c>
    </row>
    <row r="19" spans="1:6" x14ac:dyDescent="0.3">
      <c r="A19" s="58" t="s">
        <v>59</v>
      </c>
      <c r="B19" s="7" t="s">
        <v>60</v>
      </c>
      <c r="C19" s="59" t="s">
        <v>23</v>
      </c>
      <c r="E19" s="11">
        <f>VLOOKUP(A19,'Total Hours - Summary'!A:R,18,0)</f>
        <v>8</v>
      </c>
      <c r="F19" s="60">
        <f t="shared" si="0"/>
        <v>8</v>
      </c>
    </row>
    <row r="20" spans="1:6" x14ac:dyDescent="0.3">
      <c r="A20" s="58" t="s">
        <v>61</v>
      </c>
      <c r="B20" s="7" t="s">
        <v>62</v>
      </c>
      <c r="C20" s="59" t="s">
        <v>23</v>
      </c>
      <c r="E20" s="11">
        <f>VLOOKUP(A20,'Total Hours - Summary'!A:R,18,0)</f>
        <v>8</v>
      </c>
      <c r="F20" s="60">
        <f t="shared" si="0"/>
        <v>8</v>
      </c>
    </row>
    <row r="21" spans="1:6" x14ac:dyDescent="0.3">
      <c r="A21" s="58" t="s">
        <v>63</v>
      </c>
      <c r="B21" s="7" t="s">
        <v>64</v>
      </c>
      <c r="C21" s="59" t="s">
        <v>23</v>
      </c>
      <c r="E21" s="11">
        <f>VLOOKUP(A21,'Total Hours - Summary'!A:R,18,0)</f>
        <v>0</v>
      </c>
      <c r="F21" s="60">
        <f t="shared" si="0"/>
        <v>0</v>
      </c>
    </row>
    <row r="22" spans="1:6" x14ac:dyDescent="0.3">
      <c r="A22" s="58" t="s">
        <v>65</v>
      </c>
      <c r="B22" s="7" t="s">
        <v>66</v>
      </c>
      <c r="C22" s="59" t="s">
        <v>23</v>
      </c>
      <c r="E22" s="11">
        <f>VLOOKUP(A22,'Total Hours - Summary'!A:R,18,0)</f>
        <v>8</v>
      </c>
      <c r="F22" s="60">
        <f t="shared" si="0"/>
        <v>8</v>
      </c>
    </row>
    <row r="23" spans="1:6" x14ac:dyDescent="0.3">
      <c r="A23" s="58" t="s">
        <v>67</v>
      </c>
      <c r="B23" s="7" t="s">
        <v>68</v>
      </c>
      <c r="C23" s="59" t="s">
        <v>23</v>
      </c>
      <c r="E23" s="11">
        <f>VLOOKUP(A23,'Total Hours - Summary'!A:R,18,0)</f>
        <v>8</v>
      </c>
      <c r="F23" s="60">
        <f t="shared" si="0"/>
        <v>8</v>
      </c>
    </row>
    <row r="24" spans="1:6" x14ac:dyDescent="0.3">
      <c r="A24" s="58" t="s">
        <v>69</v>
      </c>
      <c r="B24" s="7" t="s">
        <v>70</v>
      </c>
      <c r="C24" s="59" t="s">
        <v>23</v>
      </c>
      <c r="E24" s="11">
        <f>VLOOKUP(A24,'Total Hours - Summary'!A:R,18,0)</f>
        <v>8</v>
      </c>
      <c r="F24" s="60">
        <f t="shared" si="0"/>
        <v>8</v>
      </c>
    </row>
    <row r="25" spans="1:6" x14ac:dyDescent="0.3">
      <c r="A25" s="58" t="s">
        <v>71</v>
      </c>
      <c r="B25" s="10" t="s">
        <v>72</v>
      </c>
      <c r="C25" s="59" t="s">
        <v>29</v>
      </c>
      <c r="D25" s="60">
        <f>VLOOKUP(A25,'Total Hours - Summary'!A:D,4,0)</f>
        <v>8</v>
      </c>
      <c r="E25" s="11">
        <f>VLOOKUP(A25,'Total Hours - Summary'!A:R,18,0)</f>
        <v>7.57</v>
      </c>
      <c r="F25" s="60">
        <f t="shared" si="0"/>
        <v>15.57</v>
      </c>
    </row>
    <row r="26" spans="1:6" x14ac:dyDescent="0.3">
      <c r="A26" s="58" t="s">
        <v>73</v>
      </c>
      <c r="B26" s="7" t="s">
        <v>74</v>
      </c>
      <c r="C26" s="59" t="s">
        <v>29</v>
      </c>
      <c r="D26" s="60">
        <f>VLOOKUP(A26,'Total Hours - Summary'!A:D,4,0)</f>
        <v>8</v>
      </c>
      <c r="E26" s="11">
        <f>VLOOKUP(A26,'Total Hours - Summary'!A:R,18,0)</f>
        <v>8</v>
      </c>
      <c r="F26" s="60">
        <f t="shared" si="0"/>
        <v>16</v>
      </c>
    </row>
    <row r="27" spans="1:6" x14ac:dyDescent="0.3">
      <c r="A27" s="58" t="s">
        <v>75</v>
      </c>
      <c r="B27" s="7" t="s">
        <v>76</v>
      </c>
      <c r="C27" s="59" t="s">
        <v>23</v>
      </c>
      <c r="E27" s="11">
        <f>VLOOKUP(A27,'Total Hours - Summary'!A:R,18,0)</f>
        <v>8</v>
      </c>
      <c r="F27" s="60">
        <f t="shared" si="0"/>
        <v>8</v>
      </c>
    </row>
    <row r="28" spans="1:6" x14ac:dyDescent="0.3">
      <c r="A28" s="58" t="s">
        <v>77</v>
      </c>
      <c r="B28" s="7" t="s">
        <v>78</v>
      </c>
      <c r="C28" s="59" t="s">
        <v>23</v>
      </c>
      <c r="E28" s="11">
        <f>VLOOKUP(A28,'Total Hours - Summary'!A:R,18,0)</f>
        <v>8</v>
      </c>
      <c r="F28" s="60">
        <f t="shared" si="0"/>
        <v>8</v>
      </c>
    </row>
    <row r="29" spans="1:6" x14ac:dyDescent="0.3">
      <c r="A29" s="58" t="s">
        <v>79</v>
      </c>
      <c r="B29" s="7" t="s">
        <v>80</v>
      </c>
      <c r="C29" s="62" t="s">
        <v>29</v>
      </c>
      <c r="D29" s="60">
        <f>VLOOKUP(A29,'Total Hours - Summary'!A:D,4,0)</f>
        <v>8</v>
      </c>
      <c r="E29" s="11">
        <f>VLOOKUP(A29,'Total Hours - Summary'!A:R,18,0)</f>
        <v>8</v>
      </c>
      <c r="F29" s="60">
        <f t="shared" si="0"/>
        <v>16</v>
      </c>
    </row>
    <row r="30" spans="1:6" x14ac:dyDescent="0.3">
      <c r="A30" s="58" t="s">
        <v>81</v>
      </c>
      <c r="B30" s="7" t="s">
        <v>82</v>
      </c>
      <c r="C30" s="59" t="s">
        <v>29</v>
      </c>
      <c r="D30" s="60">
        <f>VLOOKUP(A30,'Total Hours - Summary'!A:D,4,0)</f>
        <v>8</v>
      </c>
      <c r="E30" s="11">
        <f>VLOOKUP(A30,'Total Hours - Summary'!A:R,18,0)</f>
        <v>8</v>
      </c>
      <c r="F30" s="60">
        <f t="shared" si="0"/>
        <v>16</v>
      </c>
    </row>
    <row r="31" spans="1:6" x14ac:dyDescent="0.3">
      <c r="A31" s="58" t="s">
        <v>83</v>
      </c>
      <c r="B31" s="7" t="s">
        <v>84</v>
      </c>
      <c r="C31" s="59" t="s">
        <v>23</v>
      </c>
      <c r="E31" s="11">
        <f>VLOOKUP(A31,'Total Hours - Summary'!A:R,18,0)</f>
        <v>7.93</v>
      </c>
      <c r="F31" s="60">
        <f t="shared" si="0"/>
        <v>7.93</v>
      </c>
    </row>
    <row r="32" spans="1:6" x14ac:dyDescent="0.3">
      <c r="A32" s="58" t="s">
        <v>85</v>
      </c>
      <c r="B32" s="7" t="s">
        <v>86</v>
      </c>
      <c r="C32" s="59" t="s">
        <v>29</v>
      </c>
      <c r="D32" s="60">
        <f>VLOOKUP(A32,'Total Hours - Summary'!A:D,4,0)</f>
        <v>8</v>
      </c>
      <c r="E32" s="11">
        <f>VLOOKUP(A32,'Total Hours - Summary'!A:R,18,0)</f>
        <v>8</v>
      </c>
      <c r="F32" s="60">
        <f t="shared" si="0"/>
        <v>16</v>
      </c>
    </row>
    <row r="33" spans="1:6" x14ac:dyDescent="0.3">
      <c r="A33" s="58" t="s">
        <v>87</v>
      </c>
      <c r="B33" s="61" t="s">
        <v>88</v>
      </c>
      <c r="C33" s="59" t="s">
        <v>29</v>
      </c>
      <c r="D33" s="60">
        <f>VLOOKUP(A33,'Total Hours - Summary'!A:D,4,0)</f>
        <v>7.68</v>
      </c>
      <c r="E33" s="11">
        <f>VLOOKUP(A33,'Total Hours - Summary'!A:R,18,0)</f>
        <v>8</v>
      </c>
      <c r="F33" s="60">
        <f t="shared" si="0"/>
        <v>15.68</v>
      </c>
    </row>
    <row r="34" spans="1:6" x14ac:dyDescent="0.3">
      <c r="A34" s="58" t="s">
        <v>89</v>
      </c>
      <c r="B34" s="7" t="s">
        <v>90</v>
      </c>
      <c r="C34" s="59" t="s">
        <v>23</v>
      </c>
      <c r="E34" s="11">
        <f>VLOOKUP(A34,'Total Hours - Summary'!A:R,18,0)</f>
        <v>8</v>
      </c>
      <c r="F34" s="60">
        <f t="shared" si="0"/>
        <v>8</v>
      </c>
    </row>
    <row r="35" spans="1:6" x14ac:dyDescent="0.3">
      <c r="A35" s="58" t="s">
        <v>91</v>
      </c>
      <c r="B35" s="7" t="s">
        <v>92</v>
      </c>
      <c r="C35" s="59" t="s">
        <v>29</v>
      </c>
      <c r="D35" s="60">
        <f>VLOOKUP(A35,'Total Hours - Summary'!A:D,4,0)</f>
        <v>8</v>
      </c>
      <c r="E35" s="11">
        <f>VLOOKUP(A35,'Total Hours - Summary'!A:R,18,0)</f>
        <v>0</v>
      </c>
      <c r="F35" s="60">
        <f t="shared" si="0"/>
        <v>8</v>
      </c>
    </row>
    <row r="36" spans="1:6" x14ac:dyDescent="0.3">
      <c r="A36" s="58" t="s">
        <v>93</v>
      </c>
      <c r="B36" s="7" t="s">
        <v>94</v>
      </c>
      <c r="C36" s="59" t="s">
        <v>29</v>
      </c>
      <c r="D36" s="60">
        <f>VLOOKUP(A36,'Total Hours - Summary'!A:D,4,0)</f>
        <v>8</v>
      </c>
      <c r="E36" s="11">
        <f>VLOOKUP(A36,'Total Hours - Summary'!A:R,18,0)</f>
        <v>8</v>
      </c>
      <c r="F36" s="60">
        <f t="shared" si="0"/>
        <v>16</v>
      </c>
    </row>
    <row r="37" spans="1:6" x14ac:dyDescent="0.3">
      <c r="A37" s="58" t="s">
        <v>95</v>
      </c>
      <c r="B37" s="7" t="s">
        <v>96</v>
      </c>
      <c r="C37" s="59" t="s">
        <v>29</v>
      </c>
      <c r="D37" s="60">
        <f>VLOOKUP(A37,'Total Hours - Summary'!A:D,4,0)</f>
        <v>8</v>
      </c>
      <c r="E37" s="11">
        <f>VLOOKUP(A37,'Total Hours - Summary'!A:R,18,0)</f>
        <v>8</v>
      </c>
      <c r="F37" s="60">
        <f t="shared" si="0"/>
        <v>16</v>
      </c>
    </row>
    <row r="38" spans="1:6" x14ac:dyDescent="0.3">
      <c r="A38" s="58" t="s">
        <v>97</v>
      </c>
      <c r="B38" s="7" t="s">
        <v>98</v>
      </c>
      <c r="C38" s="59" t="s">
        <v>23</v>
      </c>
      <c r="E38" s="11">
        <f>VLOOKUP(A38,'Total Hours - Summary'!A:R,18,0)</f>
        <v>8</v>
      </c>
      <c r="F38" s="60">
        <f t="shared" si="0"/>
        <v>8</v>
      </c>
    </row>
    <row r="39" spans="1:6" x14ac:dyDescent="0.3">
      <c r="A39" s="58" t="s">
        <v>99</v>
      </c>
      <c r="B39" s="7" t="s">
        <v>100</v>
      </c>
      <c r="C39" s="59" t="s">
        <v>23</v>
      </c>
      <c r="E39" s="11">
        <f>VLOOKUP(A39,'Total Hours - Summary'!A:R,18,0)</f>
        <v>8</v>
      </c>
      <c r="F39" s="60">
        <f t="shared" si="0"/>
        <v>8</v>
      </c>
    </row>
    <row r="40" spans="1:6" x14ac:dyDescent="0.3">
      <c r="A40" s="58" t="s">
        <v>101</v>
      </c>
      <c r="B40" s="7" t="s">
        <v>102</v>
      </c>
      <c r="C40" s="59" t="s">
        <v>29</v>
      </c>
      <c r="D40" s="60">
        <f>VLOOKUP(A40,'Total Hours - Summary'!A:D,4,0)</f>
        <v>8</v>
      </c>
      <c r="E40" s="11">
        <f>VLOOKUP(A40,'Total Hours - Summary'!A:R,18,0)</f>
        <v>8</v>
      </c>
      <c r="F40" s="60">
        <f t="shared" si="0"/>
        <v>16</v>
      </c>
    </row>
    <row r="41" spans="1:6" x14ac:dyDescent="0.3">
      <c r="A41" s="58" t="s">
        <v>103</v>
      </c>
      <c r="B41" s="7" t="s">
        <v>104</v>
      </c>
      <c r="C41" s="59" t="s">
        <v>23</v>
      </c>
      <c r="E41" s="11">
        <f>VLOOKUP(A41,'Total Hours - Summary'!A:R,18,0)</f>
        <v>8</v>
      </c>
      <c r="F41" s="60">
        <f t="shared" si="0"/>
        <v>8</v>
      </c>
    </row>
    <row r="42" spans="1:6" x14ac:dyDescent="0.3">
      <c r="A42" s="58" t="s">
        <v>105</v>
      </c>
      <c r="B42" s="7" t="s">
        <v>106</v>
      </c>
      <c r="C42" s="59" t="s">
        <v>29</v>
      </c>
      <c r="D42" s="60">
        <f>VLOOKUP(A42,'Total Hours - Summary'!A:D,4,0)</f>
        <v>8</v>
      </c>
      <c r="E42" s="11">
        <f>VLOOKUP(A42,'Total Hours - Summary'!A:R,18,0)</f>
        <v>8</v>
      </c>
      <c r="F42" s="60">
        <f t="shared" si="0"/>
        <v>16</v>
      </c>
    </row>
    <row r="43" spans="1:6" x14ac:dyDescent="0.3">
      <c r="A43" s="58" t="s">
        <v>107</v>
      </c>
      <c r="B43" s="7" t="s">
        <v>108</v>
      </c>
      <c r="C43" s="59" t="s">
        <v>29</v>
      </c>
      <c r="D43" s="60">
        <f>VLOOKUP(A43,'Total Hours - Summary'!A:D,4,0)</f>
        <v>8</v>
      </c>
      <c r="E43" s="11">
        <f>VLOOKUP(A43,'Total Hours - Summary'!A:R,18,0)</f>
        <v>8</v>
      </c>
      <c r="F43" s="60">
        <f t="shared" si="0"/>
        <v>16</v>
      </c>
    </row>
    <row r="44" spans="1:6" x14ac:dyDescent="0.3">
      <c r="A44" s="58" t="s">
        <v>109</v>
      </c>
      <c r="B44" s="10" t="s">
        <v>110</v>
      </c>
      <c r="C44" s="59" t="s">
        <v>29</v>
      </c>
      <c r="D44" s="60">
        <f>VLOOKUP(A44,'Total Hours - Summary'!A:D,4,0)</f>
        <v>0</v>
      </c>
      <c r="E44" s="11">
        <f>VLOOKUP(A44,'Total Hours - Summary'!A:R,18,0)</f>
        <v>8</v>
      </c>
      <c r="F44" s="60">
        <f t="shared" si="0"/>
        <v>8</v>
      </c>
    </row>
    <row r="45" spans="1:6" x14ac:dyDescent="0.3">
      <c r="A45" s="58" t="s">
        <v>111</v>
      </c>
      <c r="B45" s="7" t="s">
        <v>112</v>
      </c>
      <c r="C45" s="59" t="s">
        <v>29</v>
      </c>
      <c r="D45" s="60">
        <f>VLOOKUP(A45,'Total Hours - Summary'!A:D,4,0)</f>
        <v>8</v>
      </c>
      <c r="E45" s="11">
        <f>VLOOKUP(A45,'Total Hours - Summary'!A:R,18,0)</f>
        <v>8</v>
      </c>
      <c r="F45" s="60">
        <f t="shared" si="0"/>
        <v>16</v>
      </c>
    </row>
    <row r="46" spans="1:6" x14ac:dyDescent="0.3">
      <c r="A46" s="58" t="s">
        <v>113</v>
      </c>
      <c r="B46" s="7" t="s">
        <v>114</v>
      </c>
      <c r="C46" s="59" t="s">
        <v>29</v>
      </c>
      <c r="D46" s="60">
        <f>VLOOKUP(A46,'Total Hours - Summary'!A:D,4,0)</f>
        <v>8</v>
      </c>
      <c r="E46" s="11">
        <f>VLOOKUP(A46,'Total Hours - Summary'!A:R,18,0)</f>
        <v>8</v>
      </c>
      <c r="F46" s="60">
        <f t="shared" si="0"/>
        <v>16</v>
      </c>
    </row>
    <row r="47" spans="1:6" x14ac:dyDescent="0.3">
      <c r="A47" s="58" t="s">
        <v>115</v>
      </c>
      <c r="B47" s="7" t="s">
        <v>116</v>
      </c>
      <c r="C47" s="59" t="s">
        <v>23</v>
      </c>
      <c r="E47" s="11">
        <f>VLOOKUP(A47,'Total Hours - Summary'!A:R,18,0)</f>
        <v>8</v>
      </c>
      <c r="F47" s="60">
        <f t="shared" si="0"/>
        <v>8</v>
      </c>
    </row>
    <row r="48" spans="1:6" x14ac:dyDescent="0.3">
      <c r="A48" s="58" t="s">
        <v>117</v>
      </c>
      <c r="B48" s="7" t="s">
        <v>118</v>
      </c>
      <c r="C48" s="59" t="s">
        <v>23</v>
      </c>
      <c r="E48" s="11">
        <f>VLOOKUP(A48,'Total Hours - Summary'!A:R,18,0)</f>
        <v>8</v>
      </c>
      <c r="F48" s="60">
        <f t="shared" si="0"/>
        <v>8</v>
      </c>
    </row>
    <row r="49" spans="1:6" x14ac:dyDescent="0.3">
      <c r="A49" s="58" t="s">
        <v>119</v>
      </c>
      <c r="B49" s="7" t="s">
        <v>120</v>
      </c>
      <c r="C49" s="59" t="s">
        <v>23</v>
      </c>
      <c r="E49" s="11">
        <f>VLOOKUP(A49,'Total Hours - Summary'!A:R,18,0)</f>
        <v>7.9</v>
      </c>
      <c r="F49" s="60">
        <f t="shared" si="0"/>
        <v>7.9</v>
      </c>
    </row>
    <row r="50" spans="1:6" x14ac:dyDescent="0.3">
      <c r="A50" s="58" t="s">
        <v>121</v>
      </c>
      <c r="B50" s="7" t="s">
        <v>122</v>
      </c>
      <c r="C50" s="59" t="s">
        <v>29</v>
      </c>
      <c r="D50" s="60">
        <f>VLOOKUP(A50,'Total Hours - Summary'!A:D,4,0)</f>
        <v>8</v>
      </c>
      <c r="E50" s="11">
        <f>VLOOKUP(A50,'Total Hours - Summary'!A:R,18,0)</f>
        <v>8</v>
      </c>
      <c r="F50" s="60">
        <f t="shared" si="0"/>
        <v>16</v>
      </c>
    </row>
    <row r="51" spans="1:6" x14ac:dyDescent="0.3">
      <c r="A51" s="58" t="s">
        <v>123</v>
      </c>
      <c r="B51" s="7" t="s">
        <v>124</v>
      </c>
      <c r="C51" s="59" t="s">
        <v>29</v>
      </c>
      <c r="D51" s="60">
        <f>VLOOKUP(A51,'Total Hours - Summary'!A:D,4,0)</f>
        <v>8</v>
      </c>
      <c r="E51" s="11">
        <f>VLOOKUP(A51,'Total Hours - Summary'!A:R,18,0)</f>
        <v>8</v>
      </c>
      <c r="F51" s="60">
        <f t="shared" si="0"/>
        <v>16</v>
      </c>
    </row>
    <row r="52" spans="1:6" x14ac:dyDescent="0.3">
      <c r="A52" s="58" t="s">
        <v>125</v>
      </c>
      <c r="B52" s="7" t="s">
        <v>126</v>
      </c>
      <c r="C52" s="59" t="s">
        <v>23</v>
      </c>
      <c r="E52" s="11">
        <f>VLOOKUP(A52,'Total Hours - Summary'!A:R,18,0)</f>
        <v>8</v>
      </c>
      <c r="F52" s="60">
        <f t="shared" si="0"/>
        <v>8</v>
      </c>
    </row>
    <row r="53" spans="1:6" x14ac:dyDescent="0.3">
      <c r="A53" s="58" t="s">
        <v>127</v>
      </c>
      <c r="B53" s="7" t="s">
        <v>128</v>
      </c>
      <c r="C53" s="59" t="s">
        <v>23</v>
      </c>
      <c r="E53" s="11">
        <f>VLOOKUP(A53,'Total Hours - Summary'!A:R,18,0)</f>
        <v>8</v>
      </c>
      <c r="F53" s="60">
        <f t="shared" si="0"/>
        <v>8</v>
      </c>
    </row>
    <row r="54" spans="1:6" x14ac:dyDescent="0.3">
      <c r="A54" s="58" t="s">
        <v>129</v>
      </c>
      <c r="B54" s="7" t="s">
        <v>130</v>
      </c>
      <c r="C54" s="62" t="s">
        <v>23</v>
      </c>
      <c r="E54" s="11">
        <f>VLOOKUP(A54,'Total Hours - Summary'!A:R,18,0)</f>
        <v>8</v>
      </c>
      <c r="F54" s="60">
        <f t="shared" si="0"/>
        <v>8</v>
      </c>
    </row>
    <row r="55" spans="1:6" x14ac:dyDescent="0.3">
      <c r="A55" s="58" t="s">
        <v>131</v>
      </c>
      <c r="B55" s="7" t="s">
        <v>132</v>
      </c>
      <c r="C55" s="59" t="s">
        <v>29</v>
      </c>
      <c r="D55" s="60">
        <f>VLOOKUP(A55,'Total Hours - Summary'!A:D,4,0)</f>
        <v>8</v>
      </c>
      <c r="E55" s="11">
        <f>VLOOKUP(A55,'Total Hours - Summary'!A:R,18,0)</f>
        <v>8</v>
      </c>
      <c r="F55" s="60">
        <f t="shared" si="0"/>
        <v>16</v>
      </c>
    </row>
    <row r="56" spans="1:6" x14ac:dyDescent="0.3">
      <c r="A56" s="58" t="s">
        <v>133</v>
      </c>
      <c r="B56" s="10" t="s">
        <v>134</v>
      </c>
      <c r="C56" s="59" t="s">
        <v>23</v>
      </c>
      <c r="E56" s="11">
        <f>VLOOKUP(A56,'Total Hours - Summary'!A:R,18,0)</f>
        <v>8</v>
      </c>
      <c r="F56" s="60">
        <f t="shared" si="0"/>
        <v>8</v>
      </c>
    </row>
    <row r="57" spans="1:6" x14ac:dyDescent="0.3">
      <c r="A57" s="58" t="s">
        <v>135</v>
      </c>
      <c r="B57" s="7" t="s">
        <v>136</v>
      </c>
      <c r="C57" s="59" t="s">
        <v>29</v>
      </c>
      <c r="D57" s="60">
        <f>VLOOKUP(A57,'Total Hours - Summary'!A:D,4,0)</f>
        <v>0</v>
      </c>
      <c r="E57" s="11">
        <f>VLOOKUP(A57,'Total Hours - Summary'!A:R,18,0)</f>
        <v>0</v>
      </c>
      <c r="F57" s="60">
        <f t="shared" si="0"/>
        <v>0</v>
      </c>
    </row>
    <row r="58" spans="1:6" x14ac:dyDescent="0.3">
      <c r="A58" s="58" t="s">
        <v>137</v>
      </c>
      <c r="B58" s="7" t="s">
        <v>138</v>
      </c>
      <c r="C58" s="59" t="s">
        <v>29</v>
      </c>
      <c r="D58" s="60">
        <f>VLOOKUP(A58,'Total Hours - Summary'!A:D,4,0)</f>
        <v>8</v>
      </c>
      <c r="E58" s="11">
        <f>VLOOKUP(A58,'Total Hours - Summary'!A:R,18,0)</f>
        <v>8</v>
      </c>
      <c r="F58" s="60">
        <f t="shared" si="0"/>
        <v>16</v>
      </c>
    </row>
    <row r="59" spans="1:6" x14ac:dyDescent="0.3">
      <c r="A59" s="58" t="s">
        <v>139</v>
      </c>
      <c r="B59" s="7" t="s">
        <v>140</v>
      </c>
      <c r="C59" s="59" t="s">
        <v>29</v>
      </c>
      <c r="D59" s="60">
        <f>VLOOKUP(A59,'Total Hours - Summary'!A:D,4,0)</f>
        <v>8</v>
      </c>
      <c r="E59" s="11">
        <f>VLOOKUP(A59,'Total Hours - Summary'!A:R,18,0)</f>
        <v>8</v>
      </c>
      <c r="F59" s="60">
        <f t="shared" si="0"/>
        <v>16</v>
      </c>
    </row>
    <row r="60" spans="1:6" x14ac:dyDescent="0.3">
      <c r="A60" s="58" t="s">
        <v>141</v>
      </c>
      <c r="B60" s="7" t="s">
        <v>142</v>
      </c>
      <c r="C60" s="59" t="s">
        <v>23</v>
      </c>
      <c r="E60" s="11">
        <f>VLOOKUP(A60,'Total Hours - Summary'!A:R,18,0)</f>
        <v>8</v>
      </c>
      <c r="F60" s="60">
        <f t="shared" si="0"/>
        <v>8</v>
      </c>
    </row>
    <row r="61" spans="1:6" x14ac:dyDescent="0.3">
      <c r="A61" s="58" t="s">
        <v>143</v>
      </c>
      <c r="B61" s="7" t="s">
        <v>144</v>
      </c>
      <c r="C61" s="59" t="s">
        <v>23</v>
      </c>
      <c r="E61" s="11">
        <f>VLOOKUP(A61,'Total Hours - Summary'!A:R,18,0)</f>
        <v>8</v>
      </c>
      <c r="F61" s="60">
        <f t="shared" si="0"/>
        <v>8</v>
      </c>
    </row>
    <row r="62" spans="1:6" x14ac:dyDescent="0.3">
      <c r="A62" s="58" t="s">
        <v>145</v>
      </c>
      <c r="B62" s="7" t="s">
        <v>146</v>
      </c>
      <c r="C62" s="59" t="s">
        <v>32</v>
      </c>
      <c r="D62" s="60">
        <f>VLOOKUP(A62,'Total Hours - Summary'!A:D,4,0)</f>
        <v>0</v>
      </c>
      <c r="E62" s="11">
        <f>VLOOKUP(A62,'Total Hours - Summary'!A:R,18,0)</f>
        <v>8</v>
      </c>
      <c r="F62" s="60">
        <f t="shared" si="0"/>
        <v>8</v>
      </c>
    </row>
    <row r="63" spans="1:6" x14ac:dyDescent="0.3">
      <c r="A63" s="58" t="s">
        <v>147</v>
      </c>
      <c r="B63" s="7" t="s">
        <v>148</v>
      </c>
      <c r="C63" s="59" t="s">
        <v>23</v>
      </c>
      <c r="E63" s="11">
        <f>VLOOKUP(A63,'Total Hours - Summary'!A:R,18,0)</f>
        <v>8</v>
      </c>
      <c r="F63" s="60">
        <f t="shared" si="0"/>
        <v>8</v>
      </c>
    </row>
    <row r="64" spans="1:6" x14ac:dyDescent="0.3">
      <c r="A64" s="58" t="s">
        <v>149</v>
      </c>
      <c r="B64" s="7" t="s">
        <v>150</v>
      </c>
      <c r="C64" s="59" t="s">
        <v>23</v>
      </c>
      <c r="E64" s="11">
        <f>VLOOKUP(A64,'Total Hours - Summary'!A:R,18,0)</f>
        <v>8</v>
      </c>
      <c r="F64" s="60">
        <f t="shared" si="0"/>
        <v>8</v>
      </c>
    </row>
    <row r="65" spans="1:6" x14ac:dyDescent="0.3">
      <c r="A65" s="58" t="s">
        <v>151</v>
      </c>
      <c r="B65" s="7" t="s">
        <v>152</v>
      </c>
      <c r="C65" s="59" t="s">
        <v>23</v>
      </c>
      <c r="E65" s="11">
        <f>VLOOKUP(A65,'Total Hours - Summary'!A:R,18,0)</f>
        <v>8</v>
      </c>
      <c r="F65" s="60">
        <f t="shared" si="0"/>
        <v>8</v>
      </c>
    </row>
    <row r="66" spans="1:6" x14ac:dyDescent="0.3">
      <c r="A66" s="58" t="s">
        <v>153</v>
      </c>
      <c r="B66" s="7" t="s">
        <v>154</v>
      </c>
      <c r="C66" s="59" t="s">
        <v>29</v>
      </c>
      <c r="D66" s="60">
        <f>VLOOKUP(A66,'Total Hours - Summary'!A:D,4,0)</f>
        <v>8</v>
      </c>
      <c r="E66" s="11">
        <f>VLOOKUP(A66,'Total Hours - Summary'!A:R,18,0)</f>
        <v>8</v>
      </c>
      <c r="F66" s="60">
        <f t="shared" si="0"/>
        <v>16</v>
      </c>
    </row>
    <row r="67" spans="1:6" x14ac:dyDescent="0.3">
      <c r="A67" s="58" t="s">
        <v>155</v>
      </c>
      <c r="B67" s="7" t="s">
        <v>156</v>
      </c>
      <c r="C67" s="59" t="s">
        <v>23</v>
      </c>
      <c r="E67" s="11">
        <f>VLOOKUP(A67,'Total Hours - Summary'!A:R,18,0)</f>
        <v>8</v>
      </c>
      <c r="F67" s="60">
        <f t="shared" si="0"/>
        <v>8</v>
      </c>
    </row>
    <row r="68" spans="1:6" x14ac:dyDescent="0.3">
      <c r="A68" s="58" t="s">
        <v>157</v>
      </c>
      <c r="B68" s="7" t="s">
        <v>158</v>
      </c>
      <c r="C68" s="59" t="s">
        <v>32</v>
      </c>
      <c r="D68" s="60">
        <f>VLOOKUP(A68,'Total Hours - Summary'!A:D,4,0)</f>
        <v>8</v>
      </c>
      <c r="E68" s="11">
        <f>VLOOKUP(A68,'Total Hours - Summary'!A:R,18,0)</f>
        <v>8</v>
      </c>
      <c r="F68" s="60">
        <f t="shared" si="0"/>
        <v>16</v>
      </c>
    </row>
    <row r="69" spans="1:6" x14ac:dyDescent="0.3">
      <c r="A69" s="58" t="s">
        <v>159</v>
      </c>
      <c r="B69" s="10" t="s">
        <v>160</v>
      </c>
      <c r="C69" s="59" t="s">
        <v>23</v>
      </c>
      <c r="E69" s="11">
        <f>VLOOKUP(A69,'Total Hours - Summary'!A:R,18,0)</f>
        <v>8</v>
      </c>
      <c r="F69" s="60">
        <f t="shared" si="0"/>
        <v>8</v>
      </c>
    </row>
    <row r="70" spans="1:6" x14ac:dyDescent="0.3">
      <c r="A70" s="58" t="s">
        <v>161</v>
      </c>
      <c r="B70" s="7" t="s">
        <v>162</v>
      </c>
      <c r="C70" s="59" t="s">
        <v>23</v>
      </c>
      <c r="E70" s="11">
        <f>VLOOKUP(A70,'Total Hours - Summary'!A:R,18,0)</f>
        <v>0</v>
      </c>
      <c r="F70" s="60">
        <f t="shared" si="0"/>
        <v>0</v>
      </c>
    </row>
    <row r="71" spans="1:6" x14ac:dyDescent="0.3">
      <c r="A71" s="58" t="s">
        <v>163</v>
      </c>
      <c r="B71" s="7" t="s">
        <v>164</v>
      </c>
      <c r="C71" s="59" t="s">
        <v>29</v>
      </c>
      <c r="D71" s="60">
        <f>VLOOKUP(A71,'Total Hours - Summary'!A:D,4,0)</f>
        <v>8</v>
      </c>
      <c r="E71" s="11">
        <f>VLOOKUP(A71,'Total Hours - Summary'!A:R,18,0)</f>
        <v>8</v>
      </c>
      <c r="F71" s="60">
        <f t="shared" si="0"/>
        <v>16</v>
      </c>
    </row>
    <row r="72" spans="1:6" x14ac:dyDescent="0.3">
      <c r="A72" s="58" t="s">
        <v>165</v>
      </c>
      <c r="B72" s="7" t="s">
        <v>166</v>
      </c>
      <c r="C72" s="59" t="s">
        <v>29</v>
      </c>
      <c r="D72" s="60">
        <f>VLOOKUP(A72,'Total Hours - Summary'!A:D,4,0)</f>
        <v>8</v>
      </c>
      <c r="E72" s="11">
        <f>VLOOKUP(A72,'Total Hours - Summary'!A:R,18,0)</f>
        <v>8</v>
      </c>
      <c r="F72" s="60">
        <f t="shared" si="0"/>
        <v>16</v>
      </c>
    </row>
    <row r="73" spans="1:6" x14ac:dyDescent="0.3">
      <c r="A73" s="58" t="s">
        <v>167</v>
      </c>
      <c r="B73" s="7" t="s">
        <v>168</v>
      </c>
      <c r="C73" s="59" t="s">
        <v>23</v>
      </c>
      <c r="E73" s="11">
        <f>VLOOKUP(A73,'Total Hours - Summary'!A:R,18,0)</f>
        <v>8</v>
      </c>
      <c r="F73" s="60">
        <f t="shared" si="0"/>
        <v>8</v>
      </c>
    </row>
    <row r="74" spans="1:6" x14ac:dyDescent="0.3">
      <c r="A74" s="58" t="s">
        <v>169</v>
      </c>
      <c r="B74" s="7" t="s">
        <v>170</v>
      </c>
      <c r="C74" s="59" t="s">
        <v>32</v>
      </c>
      <c r="D74" s="60">
        <f>VLOOKUP(A74,'Total Hours - Summary'!A:D,4,0)</f>
        <v>8</v>
      </c>
      <c r="E74" s="11">
        <f>VLOOKUP(A74,'Total Hours - Summary'!A:R,18,0)</f>
        <v>8</v>
      </c>
      <c r="F74" s="60">
        <f t="shared" si="0"/>
        <v>16</v>
      </c>
    </row>
    <row r="75" spans="1:6" x14ac:dyDescent="0.3">
      <c r="A75" s="58" t="s">
        <v>171</v>
      </c>
      <c r="B75" s="7" t="s">
        <v>26</v>
      </c>
      <c r="C75" s="59" t="s">
        <v>29</v>
      </c>
      <c r="D75" s="60">
        <f>VLOOKUP(A75,'Total Hours - Summary'!A:D,4,0)</f>
        <v>8</v>
      </c>
      <c r="E75" s="11">
        <f>VLOOKUP(A75,'Total Hours - Summary'!A:R,18,0)</f>
        <v>8</v>
      </c>
      <c r="F75" s="60">
        <f t="shared" si="0"/>
        <v>16</v>
      </c>
    </row>
    <row r="76" spans="1:6" x14ac:dyDescent="0.3">
      <c r="A76" s="58" t="s">
        <v>172</v>
      </c>
      <c r="B76" s="10" t="s">
        <v>173</v>
      </c>
      <c r="C76" s="59" t="s">
        <v>29</v>
      </c>
      <c r="D76" s="60">
        <f>VLOOKUP(A76,'Total Hours - Summary'!A:D,4,0)</f>
        <v>8</v>
      </c>
      <c r="E76" s="11">
        <f>VLOOKUP(A76,'Total Hours - Summary'!A:R,18,0)</f>
        <v>8</v>
      </c>
      <c r="F76" s="60">
        <f t="shared" si="0"/>
        <v>16</v>
      </c>
    </row>
    <row r="77" spans="1:6" x14ac:dyDescent="0.3">
      <c r="A77" s="58" t="s">
        <v>174</v>
      </c>
      <c r="B77" s="7" t="s">
        <v>175</v>
      </c>
      <c r="C77" s="59" t="s">
        <v>29</v>
      </c>
      <c r="D77" s="60">
        <f>VLOOKUP(A77,'Total Hours - Summary'!A:D,4,0)</f>
        <v>8</v>
      </c>
      <c r="E77" s="11">
        <f>VLOOKUP(A77,'Total Hours - Summary'!A:R,18,0)</f>
        <v>8</v>
      </c>
      <c r="F77" s="60">
        <f t="shared" si="0"/>
        <v>16</v>
      </c>
    </row>
    <row r="78" spans="1:6" x14ac:dyDescent="0.3">
      <c r="A78" s="58" t="s">
        <v>176</v>
      </c>
      <c r="B78" s="7" t="s">
        <v>177</v>
      </c>
      <c r="C78" s="59" t="s">
        <v>23</v>
      </c>
      <c r="E78" s="11">
        <f>VLOOKUP(A78,'Total Hours - Summary'!A:R,18,0)</f>
        <v>6.35</v>
      </c>
      <c r="F78" s="60">
        <f t="shared" si="0"/>
        <v>6.35</v>
      </c>
    </row>
    <row r="79" spans="1:6" x14ac:dyDescent="0.3">
      <c r="A79" s="58" t="s">
        <v>178</v>
      </c>
      <c r="B79" s="7" t="s">
        <v>179</v>
      </c>
      <c r="C79" s="59" t="s">
        <v>23</v>
      </c>
      <c r="E79" s="11">
        <f>VLOOKUP(A79,'Total Hours - Summary'!A:R,18,0)</f>
        <v>8</v>
      </c>
      <c r="F79" s="60">
        <f t="shared" si="0"/>
        <v>8</v>
      </c>
    </row>
    <row r="80" spans="1:6" x14ac:dyDescent="0.3">
      <c r="A80" s="58" t="s">
        <v>180</v>
      </c>
      <c r="B80" s="7" t="s">
        <v>181</v>
      </c>
      <c r="C80" s="59" t="s">
        <v>23</v>
      </c>
      <c r="E80" s="11">
        <f>VLOOKUP(A80,'Total Hours - Summary'!A:R,18,0)</f>
        <v>8</v>
      </c>
      <c r="F80" s="60">
        <f t="shared" si="0"/>
        <v>8</v>
      </c>
    </row>
    <row r="81" spans="1:6" x14ac:dyDescent="0.3">
      <c r="A81" s="58" t="s">
        <v>182</v>
      </c>
      <c r="B81" s="10" t="s">
        <v>183</v>
      </c>
      <c r="C81" s="59" t="s">
        <v>29</v>
      </c>
      <c r="D81" s="60">
        <f>VLOOKUP(A81,'Total Hours - Summary'!A:D,4,0)</f>
        <v>8</v>
      </c>
      <c r="E81" s="11">
        <f>VLOOKUP(A81,'Total Hours - Summary'!A:R,18,0)</f>
        <v>8</v>
      </c>
      <c r="F81" s="60">
        <f t="shared" si="0"/>
        <v>16</v>
      </c>
    </row>
    <row r="82" spans="1:6" x14ac:dyDescent="0.3">
      <c r="A82" s="58" t="s">
        <v>184</v>
      </c>
      <c r="B82" s="7" t="s">
        <v>185</v>
      </c>
      <c r="C82" s="59" t="s">
        <v>29</v>
      </c>
      <c r="D82" s="60">
        <f>VLOOKUP(A82,'Total Hours - Summary'!A:D,4,0)</f>
        <v>8</v>
      </c>
      <c r="E82" s="11">
        <f>VLOOKUP(A82,'Total Hours - Summary'!A:R,18,0)</f>
        <v>8</v>
      </c>
      <c r="F82" s="60">
        <f t="shared" si="0"/>
        <v>16</v>
      </c>
    </row>
    <row r="83" spans="1:6" x14ac:dyDescent="0.3">
      <c r="A83" s="58" t="s">
        <v>186</v>
      </c>
      <c r="B83" s="7" t="s">
        <v>187</v>
      </c>
      <c r="C83" s="59" t="s">
        <v>29</v>
      </c>
      <c r="D83" s="60">
        <f>VLOOKUP(A83,'Total Hours - Summary'!A:D,4,0)</f>
        <v>8</v>
      </c>
      <c r="E83" s="11">
        <f>VLOOKUP(A83,'Total Hours - Summary'!A:R,18,0)</f>
        <v>8</v>
      </c>
      <c r="F83" s="60">
        <f t="shared" si="0"/>
        <v>16</v>
      </c>
    </row>
    <row r="84" spans="1:6" x14ac:dyDescent="0.3">
      <c r="A84" s="58" t="s">
        <v>188</v>
      </c>
      <c r="B84" s="7" t="s">
        <v>189</v>
      </c>
      <c r="C84" s="59" t="s">
        <v>29</v>
      </c>
      <c r="D84" s="60">
        <f>VLOOKUP(A84,'Total Hours - Summary'!A:D,4,0)</f>
        <v>8</v>
      </c>
      <c r="E84" s="11">
        <f>VLOOKUP(A84,'Total Hours - Summary'!A:R,18,0)</f>
        <v>8</v>
      </c>
      <c r="F84" s="60">
        <f t="shared" si="0"/>
        <v>16</v>
      </c>
    </row>
    <row r="85" spans="1:6" x14ac:dyDescent="0.3">
      <c r="A85" s="58" t="s">
        <v>190</v>
      </c>
      <c r="B85" s="7" t="s">
        <v>191</v>
      </c>
      <c r="C85" s="59" t="s">
        <v>29</v>
      </c>
      <c r="D85" s="60">
        <f>VLOOKUP(A85,'Total Hours - Summary'!A:D,4,0)</f>
        <v>8</v>
      </c>
      <c r="E85" s="11">
        <f>VLOOKUP(A85,'Total Hours - Summary'!A:R,18,0)</f>
        <v>8</v>
      </c>
      <c r="F85" s="60">
        <f t="shared" si="0"/>
        <v>16</v>
      </c>
    </row>
    <row r="86" spans="1:6" x14ac:dyDescent="0.3">
      <c r="A86" s="58" t="s">
        <v>192</v>
      </c>
      <c r="B86" s="7" t="s">
        <v>193</v>
      </c>
      <c r="C86" s="59" t="s">
        <v>29</v>
      </c>
      <c r="D86" s="60">
        <f>VLOOKUP(A86,'Total Hours - Summary'!A:D,4,0)</f>
        <v>8</v>
      </c>
      <c r="E86" s="11">
        <f>VLOOKUP(A86,'Total Hours - Summary'!A:R,18,0)</f>
        <v>8</v>
      </c>
      <c r="F86" s="60">
        <f t="shared" si="0"/>
        <v>16</v>
      </c>
    </row>
    <row r="87" spans="1:6" x14ac:dyDescent="0.3">
      <c r="A87" s="58" t="s">
        <v>194</v>
      </c>
      <c r="B87" s="7" t="s">
        <v>195</v>
      </c>
      <c r="C87" s="59" t="s">
        <v>23</v>
      </c>
      <c r="E87" s="11">
        <f>VLOOKUP(A87,'Total Hours - Summary'!A:R,18,0)</f>
        <v>8</v>
      </c>
      <c r="F87" s="60">
        <f t="shared" si="0"/>
        <v>8</v>
      </c>
    </row>
    <row r="88" spans="1:6" x14ac:dyDescent="0.3">
      <c r="A88" s="58" t="s">
        <v>196</v>
      </c>
      <c r="B88" s="7" t="s">
        <v>197</v>
      </c>
      <c r="C88" s="59" t="s">
        <v>23</v>
      </c>
      <c r="E88" s="11">
        <f>VLOOKUP(A88,'Total Hours - Summary'!A:R,18,0)</f>
        <v>8</v>
      </c>
      <c r="F88" s="60">
        <f t="shared" si="0"/>
        <v>8</v>
      </c>
    </row>
    <row r="89" spans="1:6" x14ac:dyDescent="0.3">
      <c r="A89" s="58" t="s">
        <v>198</v>
      </c>
      <c r="B89" s="7" t="s">
        <v>199</v>
      </c>
      <c r="C89" s="59" t="s">
        <v>23</v>
      </c>
      <c r="E89" s="11">
        <f>VLOOKUP(A89,'Total Hours - Summary'!A:R,18,0)</f>
        <v>8</v>
      </c>
      <c r="F89" s="60">
        <f t="shared" si="0"/>
        <v>8</v>
      </c>
    </row>
    <row r="90" spans="1:6" x14ac:dyDescent="0.3">
      <c r="A90" s="58" t="s">
        <v>200</v>
      </c>
      <c r="B90" s="7" t="s">
        <v>201</v>
      </c>
      <c r="C90" s="59" t="s">
        <v>29</v>
      </c>
      <c r="D90" s="60">
        <f>VLOOKUP(A90,'Total Hours - Summary'!A:D,4,0)</f>
        <v>8</v>
      </c>
      <c r="E90" s="11">
        <f>VLOOKUP(A90,'Total Hours - Summary'!A:R,18,0)</f>
        <v>8</v>
      </c>
      <c r="F90" s="60">
        <f t="shared" si="0"/>
        <v>16</v>
      </c>
    </row>
    <row r="91" spans="1:6" x14ac:dyDescent="0.3">
      <c r="A91" s="58" t="s">
        <v>202</v>
      </c>
      <c r="B91" s="7" t="s">
        <v>203</v>
      </c>
      <c r="C91" s="59" t="s">
        <v>29</v>
      </c>
      <c r="D91" s="60">
        <f>VLOOKUP(A91,'Total Hours - Summary'!A:D,4,0)</f>
        <v>8</v>
      </c>
      <c r="E91" s="11">
        <f>VLOOKUP(A91,'Total Hours - Summary'!A:R,18,0)</f>
        <v>8</v>
      </c>
      <c r="F91" s="60">
        <f t="shared" si="0"/>
        <v>16</v>
      </c>
    </row>
    <row r="92" spans="1:6" x14ac:dyDescent="0.3">
      <c r="A92" s="58" t="s">
        <v>204</v>
      </c>
      <c r="B92" s="7" t="s">
        <v>205</v>
      </c>
      <c r="C92" s="59" t="s">
        <v>29</v>
      </c>
      <c r="D92" s="60">
        <f>VLOOKUP(A92,'Total Hours - Summary'!A:D,4,0)</f>
        <v>8</v>
      </c>
      <c r="E92" s="11">
        <f>VLOOKUP(A92,'Total Hours - Summary'!A:R,18,0)</f>
        <v>8</v>
      </c>
      <c r="F92" s="60">
        <f t="shared" si="0"/>
        <v>16</v>
      </c>
    </row>
    <row r="93" spans="1:6" x14ac:dyDescent="0.3">
      <c r="A93" s="58" t="s">
        <v>206</v>
      </c>
      <c r="B93" s="61" t="s">
        <v>207</v>
      </c>
      <c r="C93" s="59" t="s">
        <v>29</v>
      </c>
      <c r="D93" s="60">
        <f>VLOOKUP(A93,'Total Hours - Summary'!A:D,4,0)</f>
        <v>8</v>
      </c>
      <c r="E93" s="11">
        <f>VLOOKUP(A93,'Total Hours - Summary'!A:R,18,0)</f>
        <v>8</v>
      </c>
      <c r="F93" s="60">
        <f t="shared" si="0"/>
        <v>16</v>
      </c>
    </row>
  </sheetData>
  <autoFilter ref="A1:G1000" xr:uid="{00000000-0009-0000-0000-000009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R77"/>
  <sheetViews>
    <sheetView workbookViewId="0">
      <selection activeCell="E32" sqref="E32"/>
    </sheetView>
  </sheetViews>
  <sheetFormatPr defaultColWidth="14.44140625" defaultRowHeight="15" customHeight="1" x14ac:dyDescent="0.3"/>
  <cols>
    <col min="2" max="2" width="29" customWidth="1"/>
    <col min="3" max="3" width="29.33203125" customWidth="1"/>
    <col min="4" max="4" width="42.6640625" customWidth="1"/>
    <col min="5" max="5" width="34.88671875" customWidth="1"/>
    <col min="6" max="6" width="9.6640625" bestFit="1" customWidth="1"/>
    <col min="7" max="7" width="11.109375" customWidth="1"/>
  </cols>
  <sheetData>
    <row r="1" spans="1:7" x14ac:dyDescent="0.3">
      <c r="A1" s="47" t="s">
        <v>279</v>
      </c>
      <c r="B1" s="47" t="s">
        <v>252</v>
      </c>
      <c r="C1" s="47" t="s">
        <v>282</v>
      </c>
      <c r="D1" s="48" t="s">
        <v>283</v>
      </c>
      <c r="E1" s="47" t="s">
        <v>284</v>
      </c>
      <c r="F1" s="47" t="s">
        <v>285</v>
      </c>
      <c r="G1" s="9" t="s">
        <v>253</v>
      </c>
    </row>
    <row r="2" spans="1:7" x14ac:dyDescent="0.3">
      <c r="A2" s="14" t="s">
        <v>35</v>
      </c>
      <c r="B2" s="5" t="s">
        <v>36</v>
      </c>
      <c r="C2" s="16"/>
      <c r="D2" s="16"/>
      <c r="E2" s="16"/>
      <c r="F2" s="16">
        <v>8</v>
      </c>
      <c r="G2" s="16">
        <v>8</v>
      </c>
    </row>
    <row r="3" spans="1:7" x14ac:dyDescent="0.3">
      <c r="A3" s="14" t="s">
        <v>231</v>
      </c>
      <c r="B3" s="5" t="s">
        <v>232</v>
      </c>
      <c r="C3" s="16"/>
      <c r="D3" s="16"/>
      <c r="E3" s="16"/>
      <c r="F3" s="16">
        <v>8</v>
      </c>
      <c r="G3" s="16">
        <v>8</v>
      </c>
    </row>
    <row r="4" spans="1:7" x14ac:dyDescent="0.3">
      <c r="A4" s="14" t="s">
        <v>41</v>
      </c>
      <c r="B4" s="5" t="s">
        <v>42</v>
      </c>
      <c r="C4" s="16"/>
      <c r="D4" s="16"/>
      <c r="E4" s="16"/>
      <c r="F4" s="16">
        <v>8</v>
      </c>
      <c r="G4" s="16">
        <v>8</v>
      </c>
    </row>
    <row r="5" spans="1:7" x14ac:dyDescent="0.3">
      <c r="A5" s="14" t="s">
        <v>49</v>
      </c>
      <c r="B5" s="5" t="s">
        <v>50</v>
      </c>
      <c r="C5" s="16"/>
      <c r="D5" s="16"/>
      <c r="E5" s="16"/>
      <c r="F5" s="16">
        <v>8</v>
      </c>
      <c r="G5" s="16">
        <v>8</v>
      </c>
    </row>
    <row r="6" spans="1:7" x14ac:dyDescent="0.3">
      <c r="A6" s="14" t="s">
        <v>51</v>
      </c>
      <c r="B6" s="5" t="s">
        <v>52</v>
      </c>
      <c r="C6" s="16"/>
      <c r="D6" s="16"/>
      <c r="E6" s="16"/>
      <c r="F6" s="16">
        <v>8</v>
      </c>
      <c r="G6" s="16">
        <v>8</v>
      </c>
    </row>
    <row r="7" spans="1:7" x14ac:dyDescent="0.3">
      <c r="A7" s="14" t="s">
        <v>65</v>
      </c>
      <c r="B7" s="5" t="s">
        <v>66</v>
      </c>
      <c r="C7" s="16"/>
      <c r="D7" s="16"/>
      <c r="E7" s="16"/>
      <c r="F7" s="16">
        <v>8</v>
      </c>
      <c r="G7" s="16">
        <v>8</v>
      </c>
    </row>
    <row r="8" spans="1:7" x14ac:dyDescent="0.3">
      <c r="A8" s="14" t="s">
        <v>75</v>
      </c>
      <c r="B8" s="5" t="s">
        <v>76</v>
      </c>
      <c r="C8" s="16"/>
      <c r="D8" s="16"/>
      <c r="E8" s="16"/>
      <c r="F8" s="16">
        <v>8</v>
      </c>
      <c r="G8" s="16">
        <v>8</v>
      </c>
    </row>
    <row r="9" spans="1:7" x14ac:dyDescent="0.3">
      <c r="A9" s="14" t="s">
        <v>221</v>
      </c>
      <c r="B9" s="5" t="s">
        <v>222</v>
      </c>
      <c r="C9" s="16"/>
      <c r="D9" s="16">
        <v>8</v>
      </c>
      <c r="E9" s="16"/>
      <c r="F9" s="16"/>
      <c r="G9" s="16">
        <v>8</v>
      </c>
    </row>
    <row r="10" spans="1:7" x14ac:dyDescent="0.3">
      <c r="A10" s="14" t="s">
        <v>89</v>
      </c>
      <c r="B10" s="5" t="s">
        <v>90</v>
      </c>
      <c r="C10" s="16"/>
      <c r="D10" s="16"/>
      <c r="E10" s="16"/>
      <c r="F10" s="16">
        <v>16</v>
      </c>
      <c r="G10" s="16">
        <v>16</v>
      </c>
    </row>
    <row r="11" spans="1:7" x14ac:dyDescent="0.3">
      <c r="A11" s="14" t="s">
        <v>91</v>
      </c>
      <c r="B11" s="5" t="s">
        <v>92</v>
      </c>
      <c r="C11" s="16"/>
      <c r="D11" s="16"/>
      <c r="E11" s="16"/>
      <c r="F11" s="16">
        <v>16</v>
      </c>
      <c r="G11" s="16">
        <v>16</v>
      </c>
    </row>
    <row r="12" spans="1:7" x14ac:dyDescent="0.3">
      <c r="A12" s="14" t="s">
        <v>107</v>
      </c>
      <c r="B12" s="5" t="s">
        <v>108</v>
      </c>
      <c r="C12" s="16"/>
      <c r="D12" s="16"/>
      <c r="E12" s="16"/>
      <c r="F12" s="16">
        <v>8</v>
      </c>
      <c r="G12" s="16">
        <v>8</v>
      </c>
    </row>
    <row r="13" spans="1:7" x14ac:dyDescent="0.3">
      <c r="A13" s="14" t="s">
        <v>109</v>
      </c>
      <c r="B13" s="5" t="s">
        <v>110</v>
      </c>
      <c r="C13" s="16"/>
      <c r="D13" s="16"/>
      <c r="E13" s="16"/>
      <c r="F13" s="16">
        <v>16</v>
      </c>
      <c r="G13" s="16">
        <v>16</v>
      </c>
    </row>
    <row r="14" spans="1:7" x14ac:dyDescent="0.3">
      <c r="A14" s="14" t="s">
        <v>111</v>
      </c>
      <c r="B14" s="5" t="s">
        <v>112</v>
      </c>
      <c r="C14" s="16"/>
      <c r="D14" s="16"/>
      <c r="E14" s="16"/>
      <c r="F14" s="16">
        <v>4</v>
      </c>
      <c r="G14" s="16">
        <v>4</v>
      </c>
    </row>
    <row r="15" spans="1:7" x14ac:dyDescent="0.3">
      <c r="A15" s="14" t="s">
        <v>229</v>
      </c>
      <c r="B15" s="5" t="s">
        <v>230</v>
      </c>
      <c r="C15" s="16"/>
      <c r="D15" s="16"/>
      <c r="E15" s="16">
        <v>4</v>
      </c>
      <c r="F15" s="16"/>
      <c r="G15" s="16">
        <v>4</v>
      </c>
    </row>
    <row r="16" spans="1:7" x14ac:dyDescent="0.3">
      <c r="A16" s="14" t="s">
        <v>119</v>
      </c>
      <c r="B16" s="5" t="s">
        <v>120</v>
      </c>
      <c r="C16" s="16"/>
      <c r="D16" s="16"/>
      <c r="E16" s="16"/>
      <c r="F16" s="16">
        <v>8</v>
      </c>
      <c r="G16" s="16">
        <v>8</v>
      </c>
    </row>
    <row r="17" spans="1:7" x14ac:dyDescent="0.3">
      <c r="A17" s="14" t="s">
        <v>121</v>
      </c>
      <c r="B17" s="5" t="s">
        <v>122</v>
      </c>
      <c r="C17" s="16"/>
      <c r="D17" s="16"/>
      <c r="E17" s="16"/>
      <c r="F17" s="16">
        <v>4</v>
      </c>
      <c r="G17" s="16">
        <v>4</v>
      </c>
    </row>
    <row r="18" spans="1:7" x14ac:dyDescent="0.3">
      <c r="A18" s="14" t="s">
        <v>225</v>
      </c>
      <c r="B18" s="5" t="s">
        <v>226</v>
      </c>
      <c r="C18" s="16">
        <v>8</v>
      </c>
      <c r="D18" s="16"/>
      <c r="E18" s="16"/>
      <c r="F18" s="16"/>
      <c r="G18" s="16">
        <v>8</v>
      </c>
    </row>
    <row r="19" spans="1:7" x14ac:dyDescent="0.3">
      <c r="A19" s="14" t="s">
        <v>213</v>
      </c>
      <c r="B19" s="5" t="s">
        <v>214</v>
      </c>
      <c r="C19" s="16"/>
      <c r="D19" s="16"/>
      <c r="E19" s="16"/>
      <c r="F19" s="16">
        <v>8</v>
      </c>
      <c r="G19" s="16">
        <v>8</v>
      </c>
    </row>
    <row r="20" spans="1:7" x14ac:dyDescent="0.3">
      <c r="A20" s="14" t="s">
        <v>135</v>
      </c>
      <c r="B20" s="5" t="s">
        <v>136</v>
      </c>
      <c r="C20" s="16"/>
      <c r="D20" s="16"/>
      <c r="E20" s="16"/>
      <c r="F20" s="16">
        <v>8</v>
      </c>
      <c r="G20" s="16">
        <v>8</v>
      </c>
    </row>
    <row r="21" spans="1:7" x14ac:dyDescent="0.3">
      <c r="A21" s="14" t="s">
        <v>137</v>
      </c>
      <c r="B21" s="5" t="s">
        <v>138</v>
      </c>
      <c r="C21" s="16"/>
      <c r="D21" s="16"/>
      <c r="E21" s="16"/>
      <c r="F21" s="16">
        <v>8</v>
      </c>
      <c r="G21" s="16">
        <v>8</v>
      </c>
    </row>
    <row r="22" spans="1:7" x14ac:dyDescent="0.3">
      <c r="A22" s="14" t="s">
        <v>139</v>
      </c>
      <c r="B22" s="5" t="s">
        <v>140</v>
      </c>
      <c r="C22" s="16"/>
      <c r="D22" s="16"/>
      <c r="E22" s="16"/>
      <c r="F22" s="16">
        <v>8</v>
      </c>
      <c r="G22" s="16">
        <v>8</v>
      </c>
    </row>
    <row r="23" spans="1:7" x14ac:dyDescent="0.3">
      <c r="A23" s="14" t="s">
        <v>151</v>
      </c>
      <c r="B23" s="5" t="s">
        <v>152</v>
      </c>
      <c r="C23" s="16"/>
      <c r="D23" s="16"/>
      <c r="E23" s="16"/>
      <c r="F23" s="16">
        <v>16</v>
      </c>
      <c r="G23" s="16">
        <v>16</v>
      </c>
    </row>
    <row r="24" spans="1:7" x14ac:dyDescent="0.3">
      <c r="A24" s="14" t="s">
        <v>161</v>
      </c>
      <c r="B24" s="5" t="s">
        <v>162</v>
      </c>
      <c r="C24" s="16"/>
      <c r="D24" s="16"/>
      <c r="E24" s="16"/>
      <c r="F24" s="16">
        <v>32</v>
      </c>
      <c r="G24" s="16">
        <v>32</v>
      </c>
    </row>
    <row r="25" spans="1:7" x14ac:dyDescent="0.3">
      <c r="A25" s="14" t="s">
        <v>233</v>
      </c>
      <c r="B25" s="5" t="s">
        <v>234</v>
      </c>
      <c r="C25" s="16"/>
      <c r="D25" s="16"/>
      <c r="E25" s="16"/>
      <c r="F25" s="16">
        <v>4</v>
      </c>
      <c r="G25" s="16">
        <v>4</v>
      </c>
    </row>
    <row r="26" spans="1:7" x14ac:dyDescent="0.3">
      <c r="A26" s="14" t="s">
        <v>178</v>
      </c>
      <c r="B26" s="5" t="s">
        <v>179</v>
      </c>
      <c r="C26" s="16"/>
      <c r="D26" s="16"/>
      <c r="E26" s="16">
        <v>8</v>
      </c>
      <c r="F26" s="16">
        <v>24</v>
      </c>
      <c r="G26" s="16">
        <v>32</v>
      </c>
    </row>
    <row r="27" spans="1:7" x14ac:dyDescent="0.3">
      <c r="A27" s="14" t="s">
        <v>182</v>
      </c>
      <c r="B27" s="5" t="s">
        <v>183</v>
      </c>
      <c r="C27" s="16"/>
      <c r="D27" s="16"/>
      <c r="E27" s="16"/>
      <c r="F27" s="16">
        <v>16</v>
      </c>
      <c r="G27" s="16">
        <v>16</v>
      </c>
    </row>
    <row r="28" spans="1:7" x14ac:dyDescent="0.3">
      <c r="A28" s="63"/>
      <c r="B28" s="63" t="s">
        <v>253</v>
      </c>
      <c r="C28" s="64">
        <v>8</v>
      </c>
      <c r="D28" s="64">
        <v>8</v>
      </c>
      <c r="E28" s="64">
        <v>12</v>
      </c>
      <c r="F28" s="64">
        <v>252</v>
      </c>
      <c r="G28" s="64">
        <v>280</v>
      </c>
    </row>
    <row r="29" spans="1:7" x14ac:dyDescent="0.3">
      <c r="A29" s="14"/>
      <c r="B29" s="5"/>
      <c r="C29" s="16"/>
      <c r="D29" s="16"/>
      <c r="E29" s="16"/>
      <c r="F29" s="16"/>
      <c r="G29" s="16"/>
    </row>
    <row r="30" spans="1:7" x14ac:dyDescent="0.3">
      <c r="A30" s="14"/>
      <c r="B30" s="5"/>
      <c r="C30" s="16"/>
      <c r="D30" s="16"/>
      <c r="E30" s="16"/>
      <c r="F30" s="16"/>
      <c r="G30" s="16"/>
    </row>
    <row r="31" spans="1:7" x14ac:dyDescent="0.3">
      <c r="A31" s="14"/>
      <c r="B31" s="5"/>
      <c r="C31" s="16"/>
      <c r="D31" s="16"/>
      <c r="E31" s="16"/>
      <c r="F31" s="16"/>
      <c r="G31" s="51"/>
    </row>
    <row r="32" spans="1:7" x14ac:dyDescent="0.3">
      <c r="A32" s="14"/>
      <c r="B32" s="5"/>
      <c r="C32" s="16"/>
      <c r="D32" s="16"/>
      <c r="E32" s="16"/>
      <c r="F32" s="16"/>
    </row>
    <row r="33" spans="1:18" x14ac:dyDescent="0.3">
      <c r="A33" s="65"/>
      <c r="B33" s="65"/>
      <c r="C33" s="66"/>
      <c r="D33" s="66"/>
      <c r="E33" s="66"/>
      <c r="F33" s="66"/>
    </row>
    <row r="34" spans="1:18" x14ac:dyDescent="0.3">
      <c r="A34" s="14"/>
      <c r="B34" s="5"/>
      <c r="C34" s="16"/>
      <c r="D34" s="16"/>
      <c r="E34" s="16"/>
      <c r="F34" s="16"/>
    </row>
    <row r="35" spans="1:18" x14ac:dyDescent="0.3">
      <c r="A35" s="14"/>
      <c r="B35" s="6"/>
      <c r="C35" s="24"/>
      <c r="D35" s="24"/>
      <c r="E35" s="6"/>
      <c r="F35" s="6"/>
      <c r="G35" s="6"/>
      <c r="H35" s="28"/>
      <c r="I35" s="6"/>
      <c r="J35" s="25"/>
      <c r="K35" s="26"/>
      <c r="L35" s="6"/>
      <c r="M35" s="28"/>
      <c r="N35" s="6"/>
      <c r="O35" s="6"/>
      <c r="P35" s="6"/>
      <c r="Q35" s="6"/>
      <c r="R35" s="6"/>
    </row>
    <row r="36" spans="1:18" x14ac:dyDescent="0.3">
      <c r="A36" s="14"/>
      <c r="B36" s="6"/>
      <c r="C36" s="24"/>
      <c r="D36" s="24"/>
      <c r="E36" s="6"/>
      <c r="F36" s="6"/>
      <c r="G36" s="6"/>
      <c r="H36" s="28"/>
      <c r="I36" s="6"/>
      <c r="J36" s="25"/>
      <c r="K36" s="26"/>
      <c r="L36" s="6"/>
      <c r="M36" s="28"/>
      <c r="N36" s="6"/>
      <c r="O36" s="6"/>
      <c r="P36" s="6"/>
      <c r="Q36" s="6"/>
      <c r="R36" s="6"/>
    </row>
    <row r="37" spans="1:18" x14ac:dyDescent="0.3">
      <c r="A37" s="14"/>
      <c r="B37" s="6"/>
      <c r="C37" s="24"/>
      <c r="D37" s="24"/>
      <c r="E37" s="6"/>
      <c r="F37" s="6"/>
      <c r="G37" s="6"/>
      <c r="H37" s="28"/>
      <c r="I37" s="6"/>
      <c r="J37" s="25"/>
      <c r="K37" s="26"/>
      <c r="L37" s="6"/>
      <c r="M37" s="28"/>
      <c r="N37" s="6"/>
      <c r="O37" s="6"/>
      <c r="P37" s="6"/>
      <c r="Q37" s="6"/>
      <c r="R37" s="6"/>
    </row>
    <row r="38" spans="1:18" x14ac:dyDescent="0.3">
      <c r="A38" s="14"/>
      <c r="B38" s="6"/>
      <c r="C38" s="24"/>
      <c r="D38" s="24"/>
      <c r="E38" s="6"/>
      <c r="F38" s="6"/>
      <c r="G38" s="6"/>
      <c r="H38" s="28"/>
      <c r="I38" s="6"/>
      <c r="J38" s="25"/>
      <c r="K38" s="26"/>
      <c r="L38" s="6"/>
      <c r="M38" s="28"/>
      <c r="N38" s="6"/>
      <c r="O38" s="6"/>
      <c r="P38" s="6"/>
      <c r="Q38" s="6"/>
      <c r="R38" s="6"/>
    </row>
    <row r="39" spans="1:18" x14ac:dyDescent="0.3">
      <c r="A39" s="14"/>
      <c r="B39" s="6"/>
      <c r="C39" s="67"/>
      <c r="D39" s="27"/>
      <c r="E39" s="6"/>
      <c r="F39" s="6"/>
      <c r="G39" s="6"/>
      <c r="H39" s="28"/>
      <c r="I39" s="6"/>
      <c r="J39" s="25"/>
      <c r="K39" s="26"/>
      <c r="L39" s="6"/>
      <c r="M39" s="28"/>
      <c r="N39" s="6"/>
      <c r="O39" s="6"/>
      <c r="P39" s="6"/>
      <c r="Q39" s="6"/>
      <c r="R39" s="6"/>
    </row>
    <row r="40" spans="1:18" x14ac:dyDescent="0.3">
      <c r="A40" s="14"/>
      <c r="B40" s="6"/>
      <c r="C40" s="67"/>
      <c r="D40" s="27"/>
      <c r="E40" s="6"/>
      <c r="F40" s="6"/>
      <c r="G40" s="6"/>
      <c r="H40" s="28"/>
      <c r="I40" s="6"/>
      <c r="J40" s="25"/>
      <c r="K40" s="26"/>
      <c r="L40" s="6"/>
      <c r="M40" s="28"/>
      <c r="N40" s="6"/>
      <c r="O40" s="6"/>
      <c r="P40" s="6"/>
      <c r="Q40" s="6"/>
      <c r="R40" s="6"/>
    </row>
    <row r="41" spans="1:18" x14ac:dyDescent="0.3">
      <c r="A41" s="14"/>
      <c r="B41" s="6"/>
      <c r="C41" s="67"/>
      <c r="D41" s="27"/>
      <c r="E41" s="6"/>
      <c r="F41" s="6"/>
      <c r="G41" s="6"/>
      <c r="H41" s="28"/>
      <c r="I41" s="6"/>
      <c r="J41" s="25"/>
      <c r="K41" s="26"/>
      <c r="L41" s="6"/>
      <c r="M41" s="28"/>
      <c r="N41" s="6"/>
      <c r="O41" s="6"/>
      <c r="P41" s="6"/>
      <c r="Q41" s="6"/>
      <c r="R41" s="6"/>
    </row>
    <row r="42" spans="1:18" x14ac:dyDescent="0.3">
      <c r="A42" s="14"/>
      <c r="B42" s="6"/>
      <c r="C42" s="67"/>
      <c r="D42" s="27"/>
      <c r="E42" s="6"/>
      <c r="F42" s="6"/>
      <c r="G42" s="6"/>
      <c r="H42" s="28"/>
      <c r="I42" s="6"/>
      <c r="J42" s="25"/>
      <c r="K42" s="26"/>
      <c r="L42" s="6"/>
      <c r="M42" s="28"/>
      <c r="N42" s="6"/>
      <c r="O42" s="6"/>
      <c r="P42" s="6"/>
      <c r="Q42" s="6"/>
      <c r="R42" s="6"/>
    </row>
    <row r="43" spans="1:18" x14ac:dyDescent="0.3">
      <c r="A43" s="14"/>
      <c r="B43" s="6"/>
      <c r="C43" s="67"/>
      <c r="D43" s="27"/>
      <c r="E43" s="6"/>
      <c r="F43" s="6"/>
      <c r="G43" s="6"/>
      <c r="H43" s="28"/>
      <c r="I43" s="6"/>
      <c r="J43" s="25"/>
      <c r="K43" s="26"/>
      <c r="L43" s="6"/>
      <c r="M43" s="28"/>
      <c r="N43" s="6"/>
      <c r="O43" s="6"/>
      <c r="P43" s="6"/>
      <c r="Q43" s="6"/>
      <c r="R43" s="6"/>
    </row>
    <row r="44" spans="1:18" x14ac:dyDescent="0.3">
      <c r="A44" s="14"/>
      <c r="B44" s="6"/>
      <c r="C44" s="67"/>
      <c r="D44" s="27"/>
      <c r="E44" s="6"/>
      <c r="F44" s="6"/>
      <c r="G44" s="6"/>
      <c r="H44" s="28"/>
      <c r="I44" s="6"/>
      <c r="J44" s="25"/>
      <c r="K44" s="26"/>
      <c r="L44" s="6"/>
      <c r="M44" s="28"/>
      <c r="N44" s="6"/>
      <c r="O44" s="6"/>
      <c r="P44" s="6"/>
      <c r="Q44" s="6"/>
      <c r="R44" s="6"/>
    </row>
    <row r="45" spans="1:18" x14ac:dyDescent="0.3">
      <c r="A45" s="14"/>
      <c r="B45" s="6"/>
      <c r="C45" s="67"/>
      <c r="D45" s="27"/>
      <c r="E45" s="6"/>
      <c r="F45" s="6"/>
      <c r="G45" s="6"/>
      <c r="H45" s="28"/>
      <c r="I45" s="6"/>
      <c r="J45" s="25"/>
      <c r="K45" s="26"/>
      <c r="L45" s="6"/>
      <c r="M45" s="28"/>
      <c r="N45" s="6"/>
      <c r="O45" s="6"/>
      <c r="P45" s="6"/>
      <c r="Q45" s="6"/>
      <c r="R45" s="6"/>
    </row>
    <row r="46" spans="1:18" x14ac:dyDescent="0.3">
      <c r="A46" s="14"/>
      <c r="B46" s="6"/>
      <c r="C46" s="67"/>
      <c r="D46" s="27"/>
      <c r="E46" s="6"/>
      <c r="F46" s="6"/>
      <c r="G46" s="6"/>
      <c r="H46" s="28"/>
      <c r="I46" s="6"/>
      <c r="J46" s="25"/>
      <c r="K46" s="26"/>
      <c r="L46" s="6"/>
      <c r="M46" s="28"/>
      <c r="N46" s="6"/>
      <c r="O46" s="6"/>
      <c r="P46" s="6"/>
      <c r="Q46" s="6"/>
      <c r="R46" s="6"/>
    </row>
    <row r="47" spans="1:18" x14ac:dyDescent="0.3">
      <c r="A47" s="14"/>
      <c r="B47" s="6"/>
      <c r="C47" s="67"/>
      <c r="D47" s="27"/>
      <c r="E47" s="6"/>
      <c r="F47" s="6"/>
      <c r="G47" s="6"/>
      <c r="H47" s="28"/>
      <c r="I47" s="6"/>
      <c r="J47" s="25"/>
      <c r="K47" s="26"/>
      <c r="L47" s="6"/>
      <c r="M47" s="28"/>
      <c r="N47" s="6"/>
      <c r="O47" s="6"/>
      <c r="P47" s="6"/>
      <c r="Q47" s="6"/>
      <c r="R47" s="6"/>
    </row>
    <row r="48" spans="1:18" x14ac:dyDescent="0.3">
      <c r="A48" s="14"/>
      <c r="B48" s="6"/>
      <c r="C48" s="67"/>
      <c r="D48" s="27"/>
      <c r="E48" s="6"/>
      <c r="F48" s="6"/>
      <c r="G48" s="6"/>
      <c r="H48" s="28"/>
      <c r="I48" s="6"/>
      <c r="J48" s="25"/>
      <c r="K48" s="26"/>
      <c r="L48" s="6"/>
      <c r="M48" s="28"/>
      <c r="N48" s="6"/>
      <c r="O48" s="6"/>
      <c r="P48" s="6"/>
      <c r="Q48" s="6"/>
      <c r="R48" s="6"/>
    </row>
    <row r="49" spans="1:18" x14ac:dyDescent="0.3">
      <c r="A49" s="14"/>
      <c r="B49" s="6"/>
      <c r="C49" s="67"/>
      <c r="D49" s="27"/>
      <c r="E49" s="6"/>
      <c r="F49" s="6"/>
      <c r="G49" s="6"/>
      <c r="H49" s="28"/>
      <c r="I49" s="6"/>
      <c r="J49" s="25"/>
      <c r="K49" s="26"/>
      <c r="L49" s="6"/>
      <c r="M49" s="28"/>
      <c r="N49" s="6"/>
      <c r="O49" s="6"/>
      <c r="P49" s="6"/>
      <c r="Q49" s="6"/>
      <c r="R49" s="6"/>
    </row>
    <row r="50" spans="1:18" x14ac:dyDescent="0.3">
      <c r="A50" s="14"/>
      <c r="B50" s="6"/>
      <c r="C50" s="67"/>
      <c r="D50" s="27"/>
      <c r="E50" s="6"/>
      <c r="F50" s="6"/>
      <c r="G50" s="6"/>
      <c r="H50" s="28"/>
      <c r="I50" s="6"/>
      <c r="J50" s="25"/>
      <c r="K50" s="26"/>
      <c r="L50" s="6"/>
      <c r="M50" s="28"/>
      <c r="N50" s="6"/>
      <c r="O50" s="6"/>
      <c r="P50" s="6"/>
      <c r="Q50" s="6"/>
      <c r="R50" s="6"/>
    </row>
    <row r="51" spans="1:18" x14ac:dyDescent="0.3">
      <c r="A51" s="14"/>
      <c r="B51" s="6"/>
      <c r="C51" s="67"/>
      <c r="D51" s="27"/>
      <c r="E51" s="6"/>
      <c r="F51" s="6"/>
      <c r="G51" s="6"/>
      <c r="H51" s="28"/>
      <c r="I51" s="6"/>
      <c r="J51" s="25"/>
      <c r="K51" s="26"/>
      <c r="L51" s="6"/>
      <c r="M51" s="28"/>
      <c r="N51" s="6"/>
      <c r="O51" s="6"/>
      <c r="P51" s="6"/>
      <c r="Q51" s="6"/>
      <c r="R51" s="6"/>
    </row>
    <row r="52" spans="1:18" x14ac:dyDescent="0.3">
      <c r="A52" s="14"/>
      <c r="B52" s="6"/>
      <c r="C52" s="67"/>
      <c r="D52" s="27"/>
      <c r="E52" s="6"/>
      <c r="F52" s="6"/>
      <c r="G52" s="6"/>
      <c r="H52" s="28"/>
      <c r="I52" s="6"/>
      <c r="J52" s="25"/>
      <c r="K52" s="26"/>
      <c r="L52" s="6"/>
      <c r="M52" s="28"/>
      <c r="N52" s="6"/>
      <c r="O52" s="6"/>
      <c r="P52" s="6"/>
      <c r="Q52" s="6"/>
      <c r="R52" s="6"/>
    </row>
    <row r="53" spans="1:18" x14ac:dyDescent="0.3">
      <c r="A53" s="14"/>
      <c r="B53" s="6"/>
      <c r="C53" s="68"/>
      <c r="D53" s="6"/>
      <c r="E53" s="6"/>
      <c r="F53" s="80"/>
      <c r="G53" s="74"/>
      <c r="H53" s="25"/>
      <c r="I53" s="26"/>
      <c r="J53" s="6"/>
      <c r="K53" s="6"/>
      <c r="L53" s="6"/>
      <c r="M53" s="25"/>
    </row>
    <row r="54" spans="1:18" x14ac:dyDescent="0.3">
      <c r="A54" s="14"/>
      <c r="B54" s="6"/>
      <c r="C54" s="68"/>
      <c r="D54" s="6"/>
      <c r="E54" s="6"/>
      <c r="F54" s="80"/>
      <c r="G54" s="74"/>
      <c r="H54" s="25"/>
      <c r="I54" s="26"/>
      <c r="J54" s="6"/>
      <c r="K54" s="6"/>
      <c r="L54" s="6"/>
      <c r="M54" s="25"/>
    </row>
    <row r="55" spans="1:18" x14ac:dyDescent="0.3">
      <c r="A55" s="14"/>
      <c r="B55" s="6"/>
      <c r="C55" s="68"/>
      <c r="D55" s="6"/>
      <c r="E55" s="6"/>
      <c r="F55" s="80"/>
      <c r="G55" s="74"/>
      <c r="H55" s="25"/>
      <c r="I55" s="26"/>
      <c r="J55" s="6"/>
      <c r="K55" s="6"/>
      <c r="L55" s="6"/>
      <c r="M55" s="25"/>
    </row>
    <row r="56" spans="1:18" x14ac:dyDescent="0.3">
      <c r="A56" s="14"/>
      <c r="B56" s="6"/>
      <c r="C56" s="68"/>
      <c r="D56" s="6"/>
      <c r="E56" s="6"/>
      <c r="F56" s="6"/>
      <c r="G56" s="6"/>
      <c r="H56" s="25"/>
      <c r="I56" s="26"/>
      <c r="J56" s="6"/>
      <c r="K56" s="6"/>
      <c r="L56" s="6"/>
      <c r="M56" s="25"/>
    </row>
    <row r="57" spans="1:18" x14ac:dyDescent="0.3">
      <c r="A57" s="14"/>
      <c r="B57" s="6"/>
      <c r="C57" s="68"/>
      <c r="D57" s="6"/>
      <c r="E57" s="6"/>
      <c r="F57" s="6"/>
      <c r="G57" s="6"/>
      <c r="H57" s="25"/>
      <c r="I57" s="26"/>
      <c r="J57" s="6"/>
      <c r="K57" s="6"/>
      <c r="L57" s="6"/>
      <c r="M57" s="25"/>
    </row>
    <row r="58" spans="1:18" x14ac:dyDescent="0.3">
      <c r="A58" s="14"/>
      <c r="B58" s="6"/>
      <c r="C58" s="68"/>
      <c r="D58" s="6"/>
      <c r="E58" s="6"/>
      <c r="F58" s="6"/>
      <c r="G58" s="6"/>
      <c r="H58" s="25"/>
      <c r="I58" s="26"/>
      <c r="J58" s="6"/>
      <c r="K58" s="6"/>
      <c r="L58" s="6"/>
      <c r="M58" s="25"/>
    </row>
    <row r="59" spans="1:18" x14ac:dyDescent="0.3">
      <c r="A59" s="14"/>
      <c r="B59" s="6"/>
      <c r="C59" s="68"/>
      <c r="D59" s="6"/>
      <c r="E59" s="6"/>
      <c r="F59" s="6"/>
      <c r="G59" s="6"/>
      <c r="H59" s="25"/>
      <c r="I59" s="26"/>
      <c r="J59" s="6"/>
      <c r="K59" s="6"/>
      <c r="L59" s="6"/>
      <c r="M59" s="25"/>
    </row>
    <row r="60" spans="1:18" x14ac:dyDescent="0.3">
      <c r="A60" s="14"/>
      <c r="B60" s="6"/>
      <c r="C60" s="68"/>
      <c r="D60" s="6"/>
      <c r="E60" s="6"/>
      <c r="F60" s="80"/>
      <c r="G60" s="74"/>
      <c r="H60" s="25"/>
      <c r="I60" s="26"/>
      <c r="J60" s="6"/>
      <c r="K60" s="6"/>
      <c r="L60" s="6"/>
      <c r="M60" s="25"/>
    </row>
    <row r="61" spans="1:18" x14ac:dyDescent="0.3">
      <c r="A61" s="14"/>
      <c r="B61" s="6"/>
      <c r="C61" s="68"/>
      <c r="D61" s="6"/>
      <c r="E61" s="6"/>
      <c r="F61" s="80"/>
      <c r="G61" s="74"/>
      <c r="H61" s="25"/>
      <c r="I61" s="26"/>
      <c r="J61" s="6"/>
      <c r="K61" s="6"/>
      <c r="L61" s="6"/>
      <c r="M61" s="25"/>
    </row>
    <row r="62" spans="1:18" x14ac:dyDescent="0.3">
      <c r="A62" s="14"/>
      <c r="B62" s="6"/>
      <c r="C62" s="68"/>
      <c r="D62" s="6"/>
      <c r="E62" s="6"/>
      <c r="F62" s="80"/>
      <c r="G62" s="74"/>
      <c r="H62" s="25"/>
      <c r="I62" s="26"/>
      <c r="J62" s="6"/>
      <c r="K62" s="6"/>
      <c r="L62" s="6"/>
      <c r="M62" s="25"/>
    </row>
    <row r="63" spans="1:18" x14ac:dyDescent="0.3">
      <c r="A63" s="14"/>
      <c r="B63" s="6"/>
      <c r="C63" s="68"/>
      <c r="D63" s="6"/>
      <c r="E63" s="6"/>
      <c r="F63" s="80"/>
      <c r="G63" s="74"/>
      <c r="H63" s="25"/>
      <c r="I63" s="26"/>
      <c r="J63" s="6"/>
      <c r="K63" s="6"/>
      <c r="L63" s="6"/>
      <c r="M63" s="25"/>
    </row>
    <row r="64" spans="1:18" x14ac:dyDescent="0.3">
      <c r="A64" s="14"/>
      <c r="B64" s="6"/>
      <c r="C64" s="68"/>
      <c r="D64" s="6"/>
      <c r="E64" s="6"/>
      <c r="F64" s="80"/>
      <c r="G64" s="74"/>
      <c r="H64" s="25"/>
      <c r="I64" s="26"/>
      <c r="J64" s="6"/>
      <c r="K64" s="6"/>
      <c r="L64" s="6"/>
      <c r="M64" s="25"/>
    </row>
    <row r="65" spans="1:13" x14ac:dyDescent="0.3">
      <c r="A65" s="14"/>
      <c r="B65" s="6"/>
      <c r="C65" s="68"/>
      <c r="D65" s="6"/>
      <c r="E65" s="6"/>
      <c r="F65" s="80"/>
      <c r="G65" s="74"/>
      <c r="H65" s="25"/>
      <c r="I65" s="26"/>
      <c r="J65" s="6"/>
      <c r="K65" s="6"/>
      <c r="L65" s="6"/>
      <c r="M65" s="25"/>
    </row>
    <row r="66" spans="1:13" x14ac:dyDescent="0.3">
      <c r="A66" s="14"/>
      <c r="B66" s="6"/>
      <c r="C66" s="68"/>
      <c r="D66" s="6"/>
      <c r="E66" s="6"/>
      <c r="F66" s="80"/>
      <c r="G66" s="74"/>
      <c r="H66" s="25"/>
      <c r="I66" s="26"/>
      <c r="J66" s="6"/>
      <c r="K66" s="6"/>
      <c r="L66" s="6"/>
      <c r="M66" s="25"/>
    </row>
    <row r="67" spans="1:13" x14ac:dyDescent="0.3">
      <c r="A67" s="14"/>
      <c r="B67" s="6"/>
      <c r="C67" s="68"/>
      <c r="D67" s="6"/>
      <c r="E67" s="6"/>
      <c r="F67" s="80"/>
      <c r="G67" s="74"/>
      <c r="H67" s="25"/>
      <c r="I67" s="26"/>
      <c r="J67" s="6"/>
      <c r="K67" s="6"/>
      <c r="L67" s="6"/>
      <c r="M67" s="25"/>
    </row>
    <row r="68" spans="1:13" x14ac:dyDescent="0.3">
      <c r="A68" s="14"/>
      <c r="B68" s="6"/>
      <c r="C68" s="68"/>
      <c r="D68" s="6"/>
      <c r="E68" s="6"/>
      <c r="F68" s="80"/>
      <c r="G68" s="74"/>
      <c r="H68" s="25"/>
      <c r="I68" s="26"/>
      <c r="J68" s="6"/>
      <c r="K68" s="6"/>
      <c r="L68" s="6"/>
      <c r="M68" s="25"/>
    </row>
    <row r="69" spans="1:13" x14ac:dyDescent="0.3">
      <c r="A69" s="14"/>
      <c r="B69" s="6"/>
      <c r="C69" s="68"/>
      <c r="D69" s="6"/>
      <c r="E69" s="6"/>
      <c r="F69" s="80"/>
      <c r="G69" s="74"/>
      <c r="H69" s="25"/>
      <c r="I69" s="26"/>
      <c r="J69" s="6"/>
      <c r="K69" s="6"/>
      <c r="L69" s="6"/>
      <c r="M69" s="25"/>
    </row>
    <row r="70" spans="1:13" x14ac:dyDescent="0.3">
      <c r="A70" s="14"/>
      <c r="B70" s="6"/>
      <c r="C70" s="68"/>
      <c r="D70" s="6"/>
      <c r="E70" s="6"/>
      <c r="F70" s="80"/>
      <c r="G70" s="74"/>
      <c r="H70" s="25"/>
      <c r="I70" s="26"/>
      <c r="J70" s="6"/>
      <c r="K70" s="6"/>
      <c r="L70" s="6"/>
      <c r="M70" s="25"/>
    </row>
    <row r="71" spans="1:13" x14ac:dyDescent="0.3">
      <c r="A71" s="14"/>
      <c r="B71" s="6"/>
      <c r="C71" s="68"/>
      <c r="D71" s="6"/>
      <c r="E71" s="6"/>
      <c r="F71" s="80"/>
      <c r="G71" s="74"/>
      <c r="H71" s="25"/>
      <c r="I71" s="26"/>
      <c r="J71" s="6"/>
      <c r="K71" s="6"/>
      <c r="L71" s="6"/>
      <c r="M71" s="25"/>
    </row>
    <row r="72" spans="1:13" x14ac:dyDescent="0.3">
      <c r="A72" s="14"/>
      <c r="B72" s="6"/>
      <c r="C72" s="68"/>
      <c r="D72" s="6"/>
      <c r="E72" s="6"/>
      <c r="F72" s="80"/>
      <c r="G72" s="74"/>
      <c r="H72" s="25"/>
      <c r="I72" s="26"/>
      <c r="J72" s="6"/>
      <c r="K72" s="6"/>
      <c r="L72" s="6"/>
      <c r="M72" s="25"/>
    </row>
    <row r="73" spans="1:13" x14ac:dyDescent="0.3">
      <c r="A73" s="14"/>
      <c r="B73" s="6"/>
      <c r="C73" s="68"/>
      <c r="D73" s="6"/>
      <c r="E73" s="6"/>
      <c r="F73" s="80"/>
      <c r="G73" s="74"/>
      <c r="H73" s="25"/>
      <c r="I73" s="26"/>
      <c r="J73" s="6"/>
      <c r="K73" s="6"/>
      <c r="L73" s="6"/>
      <c r="M73" s="25"/>
    </row>
    <row r="74" spans="1:13" x14ac:dyDescent="0.3">
      <c r="A74" s="14"/>
      <c r="B74" s="6"/>
      <c r="C74" s="68"/>
      <c r="D74" s="6"/>
      <c r="E74" s="6"/>
      <c r="F74" s="80"/>
      <c r="G74" s="74"/>
      <c r="H74" s="25"/>
      <c r="I74" s="26"/>
      <c r="J74" s="6"/>
      <c r="K74" s="6"/>
      <c r="L74" s="6"/>
      <c r="M74" s="25"/>
    </row>
    <row r="75" spans="1:13" x14ac:dyDescent="0.3">
      <c r="A75" s="14"/>
      <c r="B75" s="6"/>
      <c r="C75" s="68"/>
      <c r="D75" s="6"/>
      <c r="E75" s="6"/>
      <c r="F75" s="80"/>
      <c r="G75" s="74"/>
      <c r="H75" s="25"/>
      <c r="I75" s="26"/>
      <c r="J75" s="6"/>
      <c r="K75" s="6"/>
      <c r="L75" s="6"/>
      <c r="M75" s="25"/>
    </row>
    <row r="76" spans="1:13" x14ac:dyDescent="0.3">
      <c r="A76" s="14"/>
      <c r="B76" s="6"/>
      <c r="C76" s="68"/>
      <c r="D76" s="6"/>
      <c r="E76" s="6"/>
      <c r="F76" s="80"/>
      <c r="G76" s="74"/>
      <c r="H76" s="25"/>
      <c r="I76" s="26"/>
      <c r="J76" s="6"/>
      <c r="K76" s="6"/>
      <c r="L76" s="6"/>
      <c r="M76" s="25"/>
    </row>
    <row r="77" spans="1:13" x14ac:dyDescent="0.3">
      <c r="A77" s="14"/>
      <c r="B77" s="6"/>
      <c r="C77" s="68"/>
      <c r="D77" s="6"/>
      <c r="E77" s="6"/>
      <c r="F77" s="80"/>
      <c r="G77" s="74"/>
      <c r="H77" s="25"/>
      <c r="I77" s="26"/>
      <c r="J77" s="6"/>
      <c r="K77" s="6"/>
      <c r="L77" s="6"/>
      <c r="M77" s="25"/>
    </row>
  </sheetData>
  <mergeCells count="21">
    <mergeCell ref="F53:G53"/>
    <mergeCell ref="F54:G54"/>
    <mergeCell ref="F55:G55"/>
    <mergeCell ref="F60:G60"/>
    <mergeCell ref="F61:G61"/>
    <mergeCell ref="F62:G62"/>
    <mergeCell ref="F63:G63"/>
    <mergeCell ref="F64:G64"/>
    <mergeCell ref="F65:G65"/>
    <mergeCell ref="F66:G66"/>
    <mergeCell ref="F74:G74"/>
    <mergeCell ref="F75:G75"/>
    <mergeCell ref="F76:G76"/>
    <mergeCell ref="F77:G77"/>
    <mergeCell ref="F67:G67"/>
    <mergeCell ref="F68:G68"/>
    <mergeCell ref="F69:G69"/>
    <mergeCell ref="F70:G70"/>
    <mergeCell ref="F71:G71"/>
    <mergeCell ref="F72:G72"/>
    <mergeCell ref="F73:G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SSS Contribution Table</vt:lpstr>
      <vt:lpstr>Total Hours - Summary</vt:lpstr>
      <vt:lpstr>Hourly</vt:lpstr>
      <vt:lpstr>OT</vt:lpstr>
      <vt:lpstr>Special Holiday</vt:lpstr>
      <vt:lpstr>SIL_Offset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</dc:creator>
  <cp:lastModifiedBy>Crazy Cute</cp:lastModifiedBy>
  <dcterms:created xsi:type="dcterms:W3CDTF">2025-02-01T17:17:49Z</dcterms:created>
  <dcterms:modified xsi:type="dcterms:W3CDTF">2025-12-15T22:45:22Z</dcterms:modified>
</cp:coreProperties>
</file>